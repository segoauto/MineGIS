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gopika/Downloads/"/>
    </mc:Choice>
  </mc:AlternateContent>
  <xr:revisionPtr revIDLastSave="0" documentId="13_ncr:1_{FBCBD0D9-FB6D-8E43-9E4D-CF9B3D1DC66D}" xr6:coauthVersionLast="47" xr6:coauthVersionMax="47" xr10:uidLastSave="{00000000-0000-0000-0000-000000000000}"/>
  <bookViews>
    <workbookView xWindow="0" yWindow="680" windowWidth="34200" windowHeight="21460" tabRatio="500" activeTab="2" xr2:uid="{00000000-000D-0000-FFFF-FFFF00000000}"/>
  </bookViews>
  <sheets>
    <sheet name="Query Tracker" sheetId="1" r:id="rId1"/>
    <sheet name="Summary by Section" sheetId="2" r:id="rId2"/>
    <sheet name="Summary by Bidder" sheetId="3" r:id="rId3"/>
  </sheets>
  <definedNames>
    <definedName name="_xlnm._FilterDatabase" localSheetId="0" hidden="1">'Query Tracker'!$A$1:$G$243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2" i="3" l="1"/>
  <c r="F35" i="2"/>
  <c r="E35" i="2"/>
  <c r="D35" i="2"/>
  <c r="C35" i="2"/>
  <c r="B35" i="2"/>
</calcChain>
</file>

<file path=xl/sharedStrings.xml><?xml version="1.0" encoding="utf-8"?>
<sst xmlns="http://schemas.openxmlformats.org/spreadsheetml/2006/main" count="1435" uniqueCount="498">
  <si>
    <t>S.No</t>
  </si>
  <si>
    <t>Page</t>
  </si>
  <si>
    <t>RFP Section / Module</t>
  </si>
  <si>
    <t>Bidder</t>
  </si>
  <si>
    <t>Query Raised</t>
  </si>
  <si>
    <t>Department Response / Clarification</t>
  </si>
  <si>
    <t>Status</t>
  </si>
  <si>
    <t>8</t>
  </si>
  <si>
    <t>1.2 Tender Schedule / Bid Submission</t>
  </si>
  <si>
    <t>Bid Submission Due date &amp; time 23/03/2026 @ 03:00PM</t>
  </si>
  <si>
    <t>Bid submission Due date 27.07.2026 @3.00PM above Mentioned queries at the earliest. Additionally, we request the publication of consolidated responses along with the outcome of pre bid meeting. We kindly request that a minimum of 15 days be provided for bid submission, from the date of publication of responses to the pre‐bid queries to allow sufficient time for preparing a comprehensive proposal.</t>
  </si>
  <si>
    <t>Answered / Clarified</t>
  </si>
  <si>
    <t>Deloitte Touche Tohmatsu India LLP</t>
  </si>
  <si>
    <t>Please confirm whether written queries are due before or after the pre‐bid meeting, and if additional queries will be accepted post meeting along with timelines for issuance of pre‐bid minutes/corrigendum.</t>
  </si>
  <si>
    <t>Bid submission Due date 27.07.2026 @3.00PM</t>
  </si>
  <si>
    <t>10</t>
  </si>
  <si>
    <t>1. Introduction (Open Source vs COTS)</t>
  </si>
  <si>
    <t>ESRI India Technologies Pvt. Ltd</t>
  </si>
  <si>
    <t>The long‐term benefits and reliability of Commercial Off‐The‐Shelf (COTS) software make it a far superior choice for a project of this vast significance and scale when compared to open‐ source software, and we respectfully submit that restricting this procurement to open‐source solutions</t>
  </si>
  <si>
    <t>As per RFP Bid Submission Due date &amp; time 23/03/2026 @ 03:00PM Section 1.2 Tender Schedule Events, middleware, or analytics platforms, ensuring transparency, portability, and long‐term sustainability alone would compromise the quality, reliability, security, and long‐term value of a project of this scale. COTS solutions bring with them dedicated vendor accountability, guaranteed SLAs, internationally recognised security certifications, structured patch management, proven scalability, and a committed long‐term product roadmap. While open‐source carries no upfront licensing cost, its true Total Cost of Ownership, when accounting for implementation complexity, security hardening, in‐ house expertise, and ongoing maintenance, routinely exceeds that of a COTS solution; COTS products offer the financial accountability, deployment stability, and enterprise‐ grade continuity that a project of this scale demands. Furthermore, COTS solutions are battle‐tested across large‐scale government deployments globally, offering faster time‐to‐deploy and significantly reduced implementation risk compared to building equivalent capability on open‐source platforms.</t>
  </si>
  <si>
    <t>2. Scope of Work (General)</t>
  </si>
  <si>
    <t>Hexamap Solutions</t>
  </si>
  <si>
    <t>We understand that the scope of the selected System Integrator is primarily limited to application design, development, integration, and implementation of the Web‐based GIS platform. Kindly confirm</t>
  </si>
  <si>
    <t>Please refer to section 2 &amp; 2.3 &amp; 2.3.8 for the detailed Scope of work. It also includes operations &amp; maintenance, helpdesk services, Testing, Periodic Security Audit by 3rd party agency for every release, among others, including all the Scope of Work as per RFP.</t>
  </si>
  <si>
    <t>We assume that existing spatial and non‐spatial datasets such as mining lease boundaries, DGPS survey layers, administrative boundaries, and related datasets will be provided by the Department in appropriate digital formats. Kindly confirm.</t>
  </si>
  <si>
    <t>Shall be provided by the Department</t>
  </si>
  <si>
    <t>In case certain legacy records or spatial datasets are available only in non‐ digital formats (such as scanned documents or physical drawings), we assume that digitization and preparation of such datasets will be undertaken by the Department or through a separate agency. Kindly confirm.</t>
  </si>
  <si>
    <t>2.1 Web-based Mine Monitoring Platform</t>
  </si>
  <si>
    <t>SCS Tech India Pvt. Ltd</t>
  </si>
  <si>
    <t>.: Please clarify: (a) How many mining leases (approximate count) are currently active, inactive, and closed in the State? (b) What is the approximate total number of lease records (including historical) to be migrated into the new platform? (c) Is there an existing GIS database or spatial dataset (shapefiles, KMLs, georeferenced maps) available, or does the bidder need to create the spatial database from scratch?</t>
  </si>
  <si>
    <t>a. Approximate Number of leases‐1600+ b. Data shall be provided to the shortlisted bidder. c. Available imagery in Shapefile format shall be shared by the department. The SI shall create the spatial database as necessary.</t>
  </si>
  <si>
    <t>Deferred to SRS Phase</t>
  </si>
  <si>
    <t>11</t>
  </si>
  <si>
    <t>2.3.1 Module 1: Web-GIS Visualization &amp; Monitoring</t>
  </si>
  <si>
    <t>How many years the department will be focusing on to assess the impact? What kind of illegal activities and environmental impacts is the department looking at? Will the procurement of satellite imagery will be a part of the current scope? Please specify.</t>
  </si>
  <si>
    <t>Impact assessment shall be for the contract period only. Currently the department will be focusing on every Quarter / Half yearly or Annualy as the need maybe for which the Department will provide the Satellite Imagery. The Department of Mines &amp; Geology will primarily used this Web based GIS system to monitor illegal mining activities such as unauthorized mineral extraction, over‐mining beyond permitted limits, encroachment into forest or protected areas, and unlicensed quarrying. The proposed solution should send alerts if such illegal activities are found during the spatial analysis. Shall be detailed during the SRS phase. The Department will provide the Satellite Imagery.</t>
  </si>
  <si>
    <t>M/s SATRA</t>
  </si>
  <si>
    <t>We assume that all this updated and relevant data will be provided by the authority. Please confirm.</t>
  </si>
  <si>
    <t>Amnex Info technologies Pvt. Ltd</t>
  </si>
  <si>
    <t>Kindly confirm that the scope is limited to integration capability only, and procurement/licensing of satellite imagery is not part of bidder scope. It is also understood that all imagery data and access APIs will be provided by the Department or designated agencies.</t>
  </si>
  <si>
    <t>Satellite imagery shall be provided by the Department. Necessary APIs/ wrappers for the GIS application shall be developed by the SI. APIs from the external systems shall be provided by the Department. The SI shall provide functions as per the RFP The GIS portal shall provide real‐time spatial intelligence by integrating mining lease boundaries, survey data, operational information, and regulatory layers within a unified Visualization environment M/s SATRA: We assume that all this updated and relevant data will be provided by the authority. Please confirm.</t>
  </si>
  <si>
    <t>a.b: Satellite images shall be provided by the Department, details on the Image Data products and their resolutions, periodicity for the maps shall be shared during the SRS phase. c. Currently the department will be focusing on every Quarter / Half yearly or Annually as the need maybe Environmental impact assessment shall be limited to GIS based assessment only. 3.4: Out of Scope Satellite Imagery Integration:</t>
  </si>
  <si>
    <t>Please confirm the number of concurrent map users at peak, typical layer stack per session, and expected max map tile requests/sec for capacity planning.</t>
  </si>
  <si>
    <t>Internal staff &amp; enforcement teams: ~300–500 concurrent users during active monitoring. Public dashboards (citizen reporting, transparency portals): ~1,000–1,500 concurrent users at peak. Combined peak load: ~1,500–2,000 concurrent users during high‐activity periods. Typical session: 6–8 layers. ‐‐ Base map (satellite/topographic) ‐‐Mining lease boundaries ‐‐‐Forest/river overlays ‐‐Transport routes (roads, rail) ‐‐ Illegal mining hotspots ‐‐ Cadastral Maps from Revenue Dept. Environmental indicators (vegetation, groundwater, DEM) Expected Max Map Tile Requests/sec Rule of thumb: Each user pan/zoom triggers ~10–20 tile requests. At 1,500 concurrent users: ~15,000–30,000 tile requests/sec if unchanged.</t>
  </si>
  <si>
    <t>Will the Department provide access to any licensed high‐resolution imagery or DEMs? If yes, please specify license terms, providers, and WMTS/WCS endpoints.</t>
  </si>
  <si>
    <t>Imagery shall be provided by the Department. Other details shall be shared during the SRS phase.</t>
  </si>
  <si>
    <t>Please specify tolerance thresholds for overlap checks with forest, water bodies, eco‐sensitive zones, and the authoritative sources for these layers.</t>
  </si>
  <si>
    <t>Shall be based on the image resolution.</t>
  </si>
  <si>
    <t>Please share required map templates (sizes/scales/legends/north arrow/grids), DPI requirements, and QR/barcode needs on plotted outputs.</t>
  </si>
  <si>
    <t>Map templates and digitized maps shall be provided by the Department</t>
  </si>
  <si>
    <t>The RFP indicates accessibility through web browsers across devices. We assume that the requirement is for a responsive web‐based application accessible via mobile browsers and that a dedicated native mobile application is not required. Kindly confirm.</t>
  </si>
  <si>
    <t>Yes, but the application shall be accessible through android and IOS based device browsers also.</t>
  </si>
  <si>
    <t>.: Please clarify: (a) Will the Department provide all reference/regulatory GIS layers (forest boundaries, administrative boundaries, water bodies, eco‐sensitive zones, transportation networks), or is the bidder expected to source these? (b) In what format will these layers be provided (Shapefile, GeoJSON, GeoTIFF, KML)? (c) What is the expected coordinate reference system (CRS) to be used as the primary system? (d) Are Survey of India topo sheets or cadastral maps required to be integrated?</t>
  </si>
  <si>
    <t>a. Department shall provide the maps as necessary. b. Department shall provide the maps in Shapefile. C. WGS 84 d. Survey of India topo sheets or cadastral maps required to be integrated</t>
  </si>
  <si>
    <t>.: To assess GIS preparation effort, kindly confirm whether activity footprints (pit, working faces, benches, dumps, haul roads etc.) are already available as GIS layers for the leases in scope. If not, please clarify whether digitization from</t>
  </si>
  <si>
    <t>Digitization from mine plans/records is expected under this project, and the expected update frequency is 6/ 12 months mine plans/records is expected under this project, and the expected update frequency (if any).</t>
  </si>
  <si>
    <t>.: Please clarify: (a) Who will procure the satellite imagery licenses – TGTS/Department or the bidder? (b) What resolution of satellite imagery is required (e.g., 30m Landsat, 10m Sentinel, sub‐meter commercial)? (c) Is integration with free/open satellite sources (Sentinel‐2, Landsat) sufficient, or is commercial high‐ resolution imagery (Cartosat, WorldView, Pleiades) required? (d) What is the expected frequency of imagery updates (monthly, quarterly, annually)? (e) If commercial imagery is required, should the cost be factored into the bidder's commercial bid?</t>
  </si>
  <si>
    <t>a. Imagery Shall be provided by the department. b. Shall be shared during the SRS phase c. Imagery Shall be provided by the department. d. Imagery Shall be provided by the department depending on the Dept. requirements. e. Imagery Shall be provided by the department.</t>
  </si>
  <si>
    <t>.: The RFP requires the system to 'support future capability for a 3D GIS map interface.' Please clarify: (a) Does this mean the architecture should be 3D‐ready, or is an actual 3D module expected during the current scope? (b) If 3D visualization is expected in the current scope, please specify the expected 3D data sources (DEMs, LiDAR, drone survey outputs). (c) Should the bidder include 3D</t>
  </si>
  <si>
    <t>The solution developed shall be 3D ready and shall Support future capability for 3D GIS map interface. capability costs in the current financial bid?</t>
  </si>
  <si>
    <t>The RFP mentions integration of satellite imagery for visualization and monitoring purposes. We assume that procurement and licensing of satellite imagery datasets will be handled by the Department or through existing government sources, and the System Integrator will only enable integration and visualization within the platform. Kindly confirm.</t>
  </si>
  <si>
    <t>Relevant imagery shall be provided by the Department. The SI shall provide functions as per the RFP</t>
  </si>
  <si>
    <t>Kindly clarify permitted imagery/basemap sources (NRSC/ISRO, NIC, open basemaps), licensing constraints, and any Department‐ provided WMTS endpoints.</t>
  </si>
  <si>
    <t>Base map shall be provided by the Department</t>
  </si>
  <si>
    <t>12</t>
  </si>
  <si>
    <t>Overlay Analysis : Will the purpose of the functionality be spatial or overlay analysis on the existing layers OR will it be just be a visualization tool with layer visibility with switch on and off functionality?</t>
  </si>
  <si>
    <t>The proposed system will support both spatial/overlay analysis and visualization capabilities. Spatial / Overlay Analysis: The system will perform layer‐based analysis such as intersection, buffering, proximity checks, and spatial validations on existing datasets to support decision‐making and compliance workflows. Visualization: It will also provide map‐based visualization with standard functionalities including layer display, transparency control, and on/off switching for different thematic layers. Hence, the solution will not be limited to visualization alone, but will include analytical capabilities built on spatial data layers. 1. Lease‐Related Master Data Initial grant record: Original lease deed, coordinates, and approval order. Amendments: Modifications in lease area, mineral type, or tenure. Renewals/closures: Renewal approvals, surrender notices, or termination orders. Version tags: Each update carries a timestamp, reference number, and approving authority. 2. Spatial Datasets (GIS/Cartographic Layers) Boundary updates: Adjustments from DGPS surveys or cadastral corrections. Overlay changes: Addition/removal of environmental features (streams, forests, habitations). Projection standards: Versioning ensures consistency in datum (WGS84/UTM). Metadata logs: Each spatial file includes metadata on scale, DPI, and source survey. 3. Survey Records Baseline survey: Original DGPS or total station survey data. Resurveys: Conducted for disputes, expansions, or compliance checks. Field notes: Digitized and versioned with surveyor ID and date. Audit trail: Ensures no overwriting—new versions are appended, not replaced. 4. Statutory Documentation Approvals &amp; permits: Mining plan approvals, environmental clearances, consent orders. Compliance certificates: IBM submissions, DGMS safety reports, pollution control board approvals. Court/legal references: Orders affecting lease validity or boundaries. Versioning: Each statutory document is indexed with filing date, issuing authority, and digital signature.</t>
  </si>
  <si>
    <t>Assuming these data will be provided by the department?</t>
  </si>
  <si>
    <t>Relevant data shall be provided by the Department.</t>
  </si>
  <si>
    <t>2.3.2 Module 2: Lease-Centric Master Data &amp; Repository</t>
  </si>
  <si>
    <t>What would the Spatial compliance reports include? Any specific information the department wants to showcase to the viewers?</t>
  </si>
  <si>
    <t>Georeferencing &amp; Coordinate Verification Validation of lease boundary coordinates against Survey of India or DGPS data. Cross‐check with cadastral maps and UTM grid references. Certification that maps are aligned with official datum (WGS84) Boundary &amp; Feature Accuracy Lease boundary demarcation with survey numbers and adjoining features. Overlay of natural features (streams, roads, habitations) for environmental compliance. Verification of line thickness and symbol usage. Regulatory Cross‐Checks Compliance with GO’s and Circulars issued by Telangana Mines Department. Verification against MMDR Act and state mining rules. Certification that maps are suitable for submission to IBM (Indian Bureau of Mines) if required.</t>
  </si>
  <si>
    <t>Assuming these data will be provided by the department? Kindly elaborate on the version history. Is this a backend operation?</t>
  </si>
  <si>
    <t>Department shall share the data. It is a backend operation.</t>
  </si>
  <si>
    <t>Department shall share the data.</t>
  </si>
  <si>
    <t>Will be shared during SRS phase.</t>
  </si>
  <si>
    <t>Amnex Infotechnologies Pvt. Ltd</t>
  </si>
  <si>
    <t>Kindly clarify that only upload and management of already digitized documents provided by the Department are part of current scope.</t>
  </si>
  <si>
    <t>Data in digital formats shall be shared by the Department.</t>
  </si>
  <si>
    <t>Kindly confirm that complete lease master data and GIS‐enabled spatial datasets (including DGPS/ETS/lease boundaries) will be provided by the Department in digital format, and bidder scope is limited to data ingestion, structuring, and system integration only. No survey, digitization, or GIS data creation is envisaged under current scope.</t>
  </si>
  <si>
    <t>The RFP references several GIS layers such as administrative boundaries, forest boundaries, water bodies, eco‐ sensitive zones, and transport networks. We assume that these reference datasets will be provided by the Department or through authorized government sources. Kindly confirm.</t>
  </si>
  <si>
    <t>We assume that spatial datasets will be provided in standard GIS‐compatible formats such as Shapefile, GeoJSON, or</t>
  </si>
  <si>
    <t>Department shall share the data in Shapefile. 2.3.2 Module 2: Lease‐Centric Master Data and Integrated Repository. similar formats compatible with open‐ source GIS platforms. Kindly confirm.</t>
  </si>
  <si>
    <t>Kindly provide anticipated document counts, average file sizes, supported formats (PDF/TIFF/DWG/DXF), and retention policies for storage sizing.</t>
  </si>
  <si>
    <t>Confirm whether temporal versioning needs bitemporal support (valid time/transaction time) and whether change events must be exposed via APIs.</t>
  </si>
  <si>
    <t>Bitemporal support (valid time/transaction time) is required, however APIs are not necessary.</t>
  </si>
  <si>
    <t>We assume that historical mining lease records, operational data, and financial information required for populating the lease‐centric repository will be made available by the Department in structured digital formats suitable for migration into the proposed system. Kindly confirm.</t>
  </si>
  <si>
    <t>Department shall provide relevant data in digital format.</t>
  </si>
  <si>
    <t>.: Please clarify: (a) Is there an existing digital database of lease master data, or is the data currently in physical/paper format that needs to be digitized? (b) What is the approximate volume of documents (lease deeds, mine plans, survey reports, clearances) to be migrated into the document management system? (c) Will the Department provide digitized copies of documents, or is scanning and digitization within the</t>
  </si>
  <si>
    <t>(a) Department shall provide relevant data in digital format. (b) Shall be shared with the shortlisted bidder. (c) Data in digital formats available with the department shall be shared. Digitization of certain data available in non‐digital formats (such as scanned documents or physical drawings) shall also be provided by the Department. (d) Shall be shared with the shortlisted bidder. bidder's scope? (d) What is the expected maximum document size and storage volume?</t>
  </si>
  <si>
    <t>.: For consistent master data capture and reporting, kindly confirm whether mine type must include Open Cast / Underground (and any other mine‐type categories used by DM&amp;G). Also confirm whether DM&amp;G will provide this as master data, or whether it is expected to be derived from records/documents.</t>
  </si>
  <si>
    <t>Shall include Open Cast mines only. Relevant data shall be provided by the department.</t>
  </si>
  <si>
    <t>.: For workflow and validation rule configuration, kindly share the definition/criteria used for each operational category (e.g., Active/Inactive/Closed/Abandoned) and the approval authority/workflow owner responsible for updating operational status in the system.</t>
  </si>
  <si>
    <t>Shall be ascertained during SRS phase.</t>
  </si>
  <si>
    <t>.: Please clarify: (a) In what format are DGPS and ETS survey data currently available (raw instrument files, CSV, Shapefile, DXF)? (b) Is automated ingestion from survey instruments expected, or will data be uploaded manually in standard formats? (c) What is the expected data validation and quality check process for incoming survey data? (d) Will the Department provide a</t>
  </si>
  <si>
    <t>a. GIS/Shapefile b. Manually c. Validated data will be shared by the Department. d. Shall be shared by the Department if required coordinate transformation standard for all incoming spatial data?</t>
  </si>
  <si>
    <t>.: To avoid data duplication and plan enrichment during migration, kindly confirm whether key lease attributes (tenure, grant/expiry date, renewals, lessee details, mineral, capacity, plan validity, clearances) are already stored within GIS layer attribute tables, or whether they exist only in separate databases/documents.</t>
  </si>
  <si>
    <t>They exist in separate databases/documents.</t>
  </si>
  <si>
    <t>.: Where mine plans/records are available only as scanned copies/PDFs, kindly confirm whether geo‐referencing and/or vector digitization is required as part of the project scope, and the expected positional accuracy/tolerance for digitized outputs.</t>
  </si>
  <si>
    <t>Geo‐referencing and/or vector digitization is not required as part of the project scope</t>
  </si>
  <si>
    <t>.: For GIS QA/QC planning, kindly confirm the acceptable positional tolerance/accuracy for lease boundaries and overlays (± metres) and the validation method expected (e.g., reference dataset comparison, ground truth survey standard, or DGPS field check).</t>
  </si>
  <si>
    <t>Shall be dependent on image resolution</t>
  </si>
  <si>
    <t>We assume that validation and certification of spatial datasets such as lease boundaries and DGPS survey layers will remain the responsibility of the Department, and the System</t>
  </si>
  <si>
    <t>Yes Integrator will utilize these datasets as provided. Kindly confirm.</t>
  </si>
  <si>
    <t>Please share indicative data volumes: number of leases, polygons/lease, total vertices, historical versions, and expected annual growth (GB/TB).</t>
  </si>
  <si>
    <t>Approximate Number of leases‐1600+ Other data shall be provided to the shortlisted bidder.</t>
  </si>
  <si>
    <t>13</t>
  </si>
  <si>
    <t>Kindly elaborate on the version history. Is this a backend operation? Kindly specify which spatial layers will be used here.</t>
  </si>
  <si>
    <t>Version history of data shall be maintained, it is a backend operation. This shall remain as per RFP.</t>
  </si>
  <si>
    <t>Data shall be provided by the Department</t>
  </si>
  <si>
    <t>2.3.3 Module 3: Operational &amp; Financial Info Mgmt</t>
  </si>
  <si>
    <t>Will the manual data entry be available for the authorized users or for all?</t>
  </si>
  <si>
    <t>Only for authorized users</t>
  </si>
  <si>
    <t>Assuming both historical and mentioned data will be provided by the department?</t>
  </si>
  <si>
    <t>Yes</t>
  </si>
  <si>
    <t>Will the rates be provided by the department? Is the department looking for some calculation tool for the users to use? The purpose of this calculation tool is to serve both the department and the users?</t>
  </si>
  <si>
    <t>Rates shall be provided by the Department. Calculation tool is required, purpose of this calculation tool is to serve the department.</t>
  </si>
  <si>
    <t>Yes, further details will be shared during the SRS phase Operational and Financial Information Management.</t>
  </si>
  <si>
    <t>Kindly clarify the availability, quality, and historical depth of data required for AI/ML models, and whether this feature is expected as a basic rule‐ based system or advanced predictive model.</t>
  </si>
  <si>
    <t>Data available digitally for approx. 10 years, and shall include predictive analysis</t>
  </si>
  <si>
    <t>Kindly confirm that all operational and financial data (production, payments, dues, penalties) will be provided via integration or bulk upload, and bidder is not responsible for any field data collection. Further, royalty rates, formulas, and business rules will be provided by the Department, and bidder will configure the system accordingly.</t>
  </si>
  <si>
    <t>Please share expected monthly record volumes (production/dispatch), backfill period (years), and required validation rules against approved capacity.</t>
  </si>
  <si>
    <t>Shall be shared with shortlisted bidder</t>
  </si>
  <si>
    <t>We assume that the anomaly detection component is intended to generate analytical alerts and insights for monitoring purposes rather than automatically triggering enforcement actions. Kindly confirm.</t>
  </si>
  <si>
    <t>Will be used as necessary</t>
  </si>
  <si>
    <t>.: Please clarify: (a) Is historical production and financial data available digitally for AI/ML model training? If yes, for how many years of data? (b) What is the expected accuracy and confidence level for AI/ML anomaly detection models? (c) Will the Department provide the royalty rate master data and calculation rules, or is the bidder expected to configure these based on published government notifications?</t>
  </si>
  <si>
    <t>a. Data available digitally for approx. 10 years. b. At least 95% accuracy C. Royalty calculation master shall be provided by the department d. Yes (d) Is integration with any existing revenue/treasury system required for royalty tracking?</t>
  </si>
  <si>
    <t>.: Your scope expectations may require mapping the 'working area' within a lease. Kindly clarify what DM&amp;G would like to capture under 'area of activity' — e.g., pit/working faces, benches, dumps, stockpiles, haul roads, plant/crusher footprint, etc. — and what level of spatial detail is required.</t>
  </si>
  <si>
    <t>Shall include pit/working faces, benches, dumps, stockpiles, haul roads, plant/crusher footprint, etc. Further details shall be shared during the SRS phase</t>
  </si>
  <si>
    <t>.: To design the dispatch/transport component properly, kindly clarify whether movement recording is limited to dispatch/permit‐level records (quantity, destination, transporter, date/time) or whether vehicle‐wise GPS/IoT real‐time tracking is also expected within this scope.</t>
  </si>
  <si>
    <t>It is limited to dispatch/permit‐level records (quantity, destination, transporter, date/time). GPS based tracking is currently done by the department, appropriate APIs have to be developed for integration with the existing system.</t>
  </si>
  <si>
    <t>.: Kindly clarify whether the platform should capture/report dispatch/movement beyond the Telangana state boundary. If yes, please specify the expected destination coverage and required granularity (state/district/plant/route/distance).</t>
  </si>
  <si>
    <t>Yes. GPS based tracking is currently done by the department, appropriate APIs have to be developed for integration with the existing system.</t>
  </si>
  <si>
    <t>.: If vehicle‐wise tracking is expected, kindly confirm: (a) GPS/fleet data source and API availability; (b) responsibility for devices/platform (DM&amp;G/lessee/third party); (c) whether</t>
  </si>
  <si>
    <t>GPS based tracking is currently done by the department, appropriate APIs have to be developed for integration with the existing system. Module 10: Integration mine‐wise vehicle lists will be provided by the Department.</t>
  </si>
  <si>
    <t>The RFP mentions AI/ML‐based anomaly detection for operational patterns. We assume that relevant historical datasets and operational parameters required for analytics will be provided by the Department to support the implementation of such analytical models. Kindly confirm.</t>
  </si>
  <si>
    <t>Department shall share historical data available.</t>
  </si>
  <si>
    <t>14</t>
  </si>
  <si>
    <t>Any specific kind of illegal activities are to be tracked by the department?</t>
  </si>
  <si>
    <t>As per RFP.</t>
  </si>
  <si>
    <t>No Change (As per RFP)</t>
  </si>
  <si>
    <t>2.3.4 Module 4: Dashboards, MIS &amp; Decision Support</t>
  </si>
  <si>
    <t>We understand the historical data will be provided by the department? Also, request to clarify on the format of these data?</t>
  </si>
  <si>
    <t>Department shall be provide the in digital formats.</t>
  </si>
  <si>
    <t>How many dashboards are expected to be created in total for the platform? Kindly Clarify</t>
  </si>
  <si>
    <t>Details shall be shared during SRS Phase. shall be visualized through charts, gauges, and tables.</t>
  </si>
  <si>
    <t>Are specific ML libraries/frameworks preferred (scikit‐learn, TensorFlow, PyTorch), and are explainability artifacts (SHAP/LIME) required in MIS?</t>
  </si>
  <si>
    <t>.: Please clarify: (a) How many dashboard types/views are expected (approximate count)? (b) Will the Department provide a list of KPIs and MIS report formats, or should the bidder propose these during SRS? (c) Is real‐time data refresh expected on dashboards, or will periodic refresh (e.g., daily, hourly) be acceptable? (d) Are role‐specific dashboard layouts required (e.g., separate views for Director, District Officer, Field Officer)?</t>
  </si>
  <si>
    <t>a. Shall be shared during the SRS phase b. Shall be shared during the SRS phase c. Real‐time d. Shall be shared during the SRS phase</t>
  </si>
  <si>
    <t>Please confirm KPI catalog, refresh frequencies (real‐time/near real‐ time/batch), export formats, and need for scheduled distributions (email/WhatsApp).</t>
  </si>
  <si>
    <t>Department shall define the KPIs during the SRS phase. Refresh frequencies shall be real‐time. WhatsApp &amp; email distributions are also required.</t>
  </si>
  <si>
    <t>2.3.5 Module 5: Platform Governance (RBAC/SSO)</t>
  </si>
  <si>
    <t>.: Please clarify: (a) Which specific government identity/SSO systems are expected to be integrated (e.g., Telangana State SSO, Aadhaar‐based eKYC, Digi Locker)? (b) Is integration with existing departmental LDAP/Active Directory required? (c) How many user roles are expected to be defined (approximate count)? (d) Is integration with Aadhaar‐based authentication mandatory or optional?</t>
  </si>
  <si>
    <t>a. Aadhaar‐based eKYC, Digi Locker b. Yes c. Approx. 10‐15 roles d. Mandatory</t>
  </si>
  <si>
    <t>For appropriate system design and performance planning, we assume that the Department will provide the numbers of users across different roles during the design phase. Kindly confirm.</t>
  </si>
  <si>
    <t>Approx. 10‐15 roles</t>
  </si>
  <si>
    <t>15</t>
  </si>
  <si>
    <t>2.3.6 Module 6: Open-Source Architecture &amp; Cloud</t>
  </si>
  <si>
    <t>Department shall decide the deployment environment. Open‐Source Architecture and Cloud Compliance</t>
  </si>
  <si>
    <t>Kindly clarify whether the complete deployment environment (including development, testing, and production instances) will be provisioned by the Department. In case development environment is to be arranged by the bidder, please confirm whether relevant datasets and access to required systems/APIs will be provided</t>
  </si>
  <si>
    <t>The department shall provide the cloud/ hardware infrastructure only, based on the project requirements. Hardware sizing shall be provided by the SI. Setting up the development environment is the SI/ bidder's responsibility. Relevant datasets and access to required systems/APIs will be provided by the Department for development and testing purposes. by the Department for development and testing purposes.</t>
  </si>
  <si>
    <t>The RFP mentions integration with SSO and government identity systems. We assume that the necessary authentication services or identity provider interfaces will be made available by the Department or relevant government platforms. Kindly confirm.</t>
  </si>
  <si>
    <t>Please confirm target PostGIS versions, required extensions (e.g., postgis_topology, postgis_raster, pgRouting), and any FTS requirements (tsvector).</t>
  </si>
  <si>
    <t>Will be shared with the successful bidder</t>
  </si>
  <si>
    <t>Kindly confirm required OGC service versions (WMS 1.3.0, WFS 2.0, WCS 2.0), SLD/SE styling standards, and printing/plotting requirements (A0– A4).</t>
  </si>
  <si>
    <t>Please confirm projection standards (EPSG:4326/3857/India grids), on‐the‐ fly reprojection needs, and accessibility requirements (WCAG) for web GIS.</t>
  </si>
  <si>
    <t>Shall be shared during the SRS phase.</t>
  </si>
  <si>
    <t>Please confirm throughput expectations (events/sec), message sizes, topic/queue counts, and whether exactly‐once or at‐least‐once semantics are required.</t>
  </si>
  <si>
    <t>Please clarify scale expectations (concurrent dashboard viewers, dataset sizes), and whether Spark is mandatory or optional for batch/ML workloads.</t>
  </si>
  <si>
    <t>Is a tile cache (GeoWebCache) mandated? Please confirm cache seeding policies, max zoom level, cache warm‐up schedule, and purge rules.</t>
  </si>
  <si>
    <t>Is enterprise search (Elasticsearch/OpenSearch/Solr) required for spatial+text search? Please confirm indexing fields and multilingual needs.</t>
  </si>
  <si>
    <t>Is containerization (Docker/Podman) and orchestration (Kubernetes) preferred/mandated? Confirm cluster size, node pools, and ingress/egress rules.</t>
  </si>
  <si>
    <t>Please confirm requirements for metrics, tracing, and logs (Prometheus/Grafana/OpenTelemetry), SLOs, and alerting runbooks and uptime probes.</t>
  </si>
  <si>
    <t>.: Please clarify: (a) The RFP mandates 'enterprise‐grade supported open‐source software' with 'commercial support subscriptions permitted.' Does this mean the bidder must procure enterprise support subscriptions (e.g., Red Hat, EnterpriseDB, GeoServer Enterprise) and factor these costs into the financial bid? (b) If yes, for what duration should enterprise support be costed – development phase only or the entire 3‐year contract period? (c) Is open‐source software with community‐only support acceptable, or is commercial/vendor‐backed support mandatory?</t>
  </si>
  <si>
    <t>a.b: Yes, the cost shall be factored in the financial bid for the entire contract period of 3 years. c. Commercial/vendor‐backed support is mandatory.</t>
  </si>
  <si>
    <t>The RFP specifies deployment on MeitY‐approved cloud infrastructure or government‐authorized data centers. We assume that the cloud infrastructure (compute, storage, networking, and security services) will be provisioned by the Department or TGTS, and the System Integrator will configure and deploy the application stack. Kindly confirm.</t>
  </si>
  <si>
    <t>Yes. It is the responsibility of the successful bidder to provide the Hardware sizing.</t>
  </si>
  <si>
    <t>Assuming that development activities are carried out from the System Integrator’s office, will the Department/TGTS provide the necessary secure access (such as VPN or similar mechanisms) to access the</t>
  </si>
  <si>
    <t>VPN shall be provided to the Implementing Govt. Department. project infrastructure and perform development, deployment, and configuration activities? Kindly confirm.</t>
  </si>
  <si>
    <t>Kindly confirm whether use of any proprietary components (e.g., ESRI/ArcGIS, commercial DBs, proprietary analytics) is strictly disallowed. Are enterprise subscriptions for supported open‐ source distributions permitted?</t>
  </si>
  <si>
    <t>Proprietary components not allowed, enterprise subscriptions for supported open‐ source distributions are permitted.</t>
  </si>
  <si>
    <t>16</t>
  </si>
  <si>
    <t>A comprehensive COTS geospatial platform provides GIS server capabilities, spatial database management, analytics, web mapping, and messaging within a single, tightly integrated enterprise stack—removing the need to assemble and maintain multiple independent open components. Hence, considering the vast scope of data handling and management under the current tender, we understand that the Bidder should use COTS‐based GIS software instead of open‐source technologies. This will minimize the Department's data security risk and will appropriately apply to provide ISO 27001. Request to consider the point</t>
  </si>
  <si>
    <t>CyberSWIFT Infotech Pvt. Ltd</t>
  </si>
  <si>
    <t>Who will provide the cloud infrastructure? If this is the responsibility of the bidder, should the bidder include the cost of the server for the entire project completion period?</t>
  </si>
  <si>
    <t>Department shall provide the compute infrastructure</t>
  </si>
  <si>
    <t>2.3.7 Module 7: Training</t>
  </si>
  <si>
    <t>Request details on sessions, audience categories, locations (HQ/districts), batch sizes, training infrastructure, and whether travel/OPEs are reimbursable.</t>
  </si>
  <si>
    <t>The training materials and trainers shall be provided by the SI/ bidder at the State Headquarters (Hyderabad) in batches as suggested by the Department. Training and user manuals shall be provided both in English &amp; Telugu. The infrastructure for the training shall be provided by the Department. Training shall be provided to master trainers identified by the department. Trainings shall be provided before go‐live, and upon major modifications/ updates</t>
  </si>
  <si>
    <t>.:' Please clarify: (a) Will the cloud infrastructure (VMs, storage, network, load balancers) be provisioned and paid for by TGTS/Department, or is the bidder expected to provision and include cloud hosting costs in the financial bid? (b) If cloud costs are to be borne by the bidder, for what period – development phase only or the entire 3‐year contract period? (c) Is Telangana State Data Center (TSDC) the preferred deployment option, or should the bidder quote for a MeitY‐empaneled cloud provider (e.g., NIC Cloud, MeghRaj)? (d) Is a separate DR site required, and if so, should it be in a different seismic zone as mentioned in Annexure IX? (e) What are the minimum cloud infrastructure specifications (CPU, RAM, storage) expected?</t>
  </si>
  <si>
    <t>Hardware/ cloud infrastructure shall be provisioned by the Department. The bidder has to share the hardware requirements.</t>
  </si>
  <si>
    <t>The RFP mentions high availability and disaster recovery requirements. We assume that the required infrastructure for high availability and DR environments will be provisioned by the Department or the hosting provider, and the System Integrator will configure the application accordingly. Kindly confirm.</t>
  </si>
  <si>
    <t>Yes.</t>
  </si>
  <si>
    <t>.: The RFP provides a 'Recommended Technology Stack' with a note that 'Equivalent open‐source alternatives are permitted.' Please clarify: (a) Will the bidder be evaluated/scored on adherence to the recommended stack, or is the bidder free to propose any equivalent open‐source technology? (b) If an alternative is proposed, what criteria will be used to evaluate equivalence? (c) Can the bidder use a combination of recommended and alternative technologies?</t>
  </si>
  <si>
    <t>The technology stack is indicative, the bidder may propose the best suitable open source stack for the project.</t>
  </si>
  <si>
    <t>Please confirm that equivalent open‐ source alternatives (e.g., MapServer, QGIS Server, FastAPI, Vue, Cesium, Redis/NATS) are acceptable subject to OGC and security compliance.</t>
  </si>
  <si>
    <t>The bidder shall propose appropriate open‐ source alternatives for OS, Data Base, GIS which are OGC compliant</t>
  </si>
  <si>
    <t>Please confirm documentation formats (SRS/SDD/SAD/SOPs), language requirements (EN/Telugu), and acceptance checklist for doc deliverables.</t>
  </si>
  <si>
    <t>In Word and PDF format and in English language. Checklist to include Scope, Compliance, Version Control &amp; Consistency. User manuals and training material shall be provided in English and Telugu.</t>
  </si>
  <si>
    <t>.: Please clarify: (a) What is the expected total number of users to be trained (approximate)? (b) How many training batches/sessions are expected? (c) Is the training to be conducted at a single location (Hyderabad) or at multiple district offices? (d) Should the bidder provide an e‐ learning platform/LMS, or are classroom sessions sufficient? (e) Are training videos expected to be professionally produced or screen‐ recorded walkthroughs?</t>
  </si>
  <si>
    <t>a. Approx. 300 ‐ 500 users. b. As per Dept requirement c. Training shall be provided by the SI/ bidder at the State Headquarters (Hyderabad) in batches as suggested by the Department. d. e‐learning platform/LMS are also required along with classroom sessions Training and user manuals shall be provided both in English &amp; Telugu. The infrastructure for the training shall be provided by the Department. Training shall be provided to master trainers identified by the department. Trainings shall be provided before go‐live, and upon major modifications/ updates</t>
  </si>
  <si>
    <t>We assume that logistical arrangements for training sessions, including training venues and participant coordination, will be facilitated by the Department, while the System Integrator will provide training materials and trainers. Kindly confirm.</t>
  </si>
  <si>
    <t>17</t>
  </si>
  <si>
    <t>2.3.8 Module 8: Operations &amp; Maintenance</t>
  </si>
  <si>
    <t>2.3.8 Module 8: Operations and Maintenance (O&amp;M) a) Module Purpose and Scope The Operations and Maintenance (O&amp;M) services shall be provided for the entire contract period of 32 months from the Go‐ Live date. The O&amp;M phase shall be co‐ terminus with the contract period. The Service Provider shall provide helpdesk support during business hours, maintain system stability through proactive monitoring and maintenance. The O&amp;M services shall include application maintenance, infrastructure management, security monitoring, backup and recovery, performance optimization, user support, training for new users, and monthly operational reporting to the department. b) Key Functional Capabilities 24x7 Helpdesk Support: The Service Provider shall establish a dedicated helpdesk with an ITSM‐based ticketing system supporting phone, email, and web portal channels. Incident response SLAs shall be defined and monitored with escalation procedures for critical issues. SLA‐Based Maintenance: The system uptime SLA of at least 99.5% per month shall be maintained. Critical incidents shall be responded to within 1 hour and resolved within 8 hours. Regular system health checks, performance tuning, and preventive maintenance shall be conducted. availability as per SLAs, implement approved changes, and ensure system stability through proactive monitoring and maintenance. Business Hours ‐ Telangana Government working days, from 10:00 AM to 7:00 PM The O&amp;M services shall include application maintenance, infrastructure management, security monitoring, backup and recovery, performance optimization, user support, training for new users, and monthly operational reporting to the department. b) Key Functional Capabilities Helpdesk Support: The Service Provider shall establish a dedicated helpdesk with an ITSM‐based ticketing system supporting phone, email, and web portal channels. Incident response SLAs shall be defined and monitored with escalation procedures for critical issues. The Helpdesk Support shall be available in English &amp; Telugu. SLA‐Based Maintenance: The system uptime SLA of at least 99% per month shall be maintained. Critical incidents shall be responded to within 30 Mins and resolved within 4 hours. Regular system health checks, performance tuning, and preventive maintenance shall be conducted.</t>
  </si>
  <si>
    <t>Kindly clarify whether any change requests, enhancements, or new feature additions during O&amp;M will be treated within scope or handled separately under change management/commercial terms.</t>
  </si>
  <si>
    <t>Major changes involving new modules, significant functional enhancements, etc shall be treated as scope change and executed on mutually agreed terms, as approved by the project committee. Refer at serial no 95</t>
  </si>
  <si>
    <t>Refer Corrigendum</t>
  </si>
  <si>
    <t>The RFP requires a helpdesk support mechanism. We assume that the helpdesk will primarily address application‐related technical issues and user queries and will not include operational responsibilities such as data entry record keeping. Kindly confirm.</t>
  </si>
  <si>
    <t>The helpdesk will primarily address application‐related technical issues and user queries and may require some data entry record keeping. The working days for the Helpdesk shall be as per Telangana Government working days, and from 10.00 AM to 7:00 PM. The helpdesk shall support English &amp; Telugu languages.</t>
  </si>
  <si>
    <t>During the O&amp;M phase, we assume that the System Integrator will address bug fixes, configuration updates, and minor enhancements within the approved scope, while major functional changes beyond the defined scope will be handled through a formal change request process. Kindly confirm.</t>
  </si>
  <si>
    <t>Major changes involving new modules, significant functional enhancements, etc. shall be treated as scope change and executed on mutually agreed terms between the successful bidder and the Department, as approved by the project committee.</t>
  </si>
  <si>
    <t>.: Please clarify: (a) Is the hypercare period 30 days or 60 days (the range creates ambiguity)? (b) What specific 'enhanced' support is expected during hypercare beyond normal O&amp;M (e.g., additional onsite staff, extended support hours)? (c) Is the hypercare period included within the O&amp;M contract period, or is it in addition?</t>
  </si>
  <si>
    <t>a.b: Hypercare period shall be for a period of 30 days with increased staffing and monitoring to ensure system stabilization and smooth transition to regular operations. C. This shall be part of the O&amp;M contract period.</t>
  </si>
  <si>
    <t>18</t>
  </si>
  <si>
    <t>2.3.9 Module 9: Testing &amp; QA</t>
  </si>
  <si>
    <t>iv. User Acceptance Testing (UAT) 100% of all defects identified as part of the UAT shall be fixed within 1 week and retested before go‐live. Comprehensive Testing Phases: medium‐priority defects, 80% of these should be fixed before go‐live, and for low‐priority defects, 60% should be fixed before go‐live. All pending medium and low priority defects shall be fixed within 2 months of go‐live.</t>
  </si>
  <si>
    <t>Bidder shall propose optimal hardware sizing as per the requirement. Go‐Live Please confirm infrastructure for the Requirements, 100 hits/sec test (Dept.‐provisioned p.22; Section cloud), response time thresholds, 2.3.9 Testing &amp; dataset size, and whether third‐party QA certification is required.</t>
  </si>
  <si>
    <t>Please confirm expectations for unit/API/UI automation coverage (percentages), approved tools (JUnit/PyTest/Cypress), and performance tool choices.</t>
  </si>
  <si>
    <t>Bidders responsibility to use appropriate testing tools.</t>
  </si>
  <si>
    <t>Please confirm target browser versions, mobile support matrix, and device labs/emulators acceptable for compatibility testing.</t>
  </si>
  <si>
    <t>Shall be compatible with all browsers, including mobile based browsers.</t>
  </si>
  <si>
    <t>The RFP specifies security testing through CERT‐In empaneled vendors. We assume that such security audits will be arranged by the Department while the System Integrator will support remediation of identified issues. Kindly confirm.</t>
  </si>
  <si>
    <t>Yes, the successful bidder shall design the system providing security at various levels ‐ security by design.</t>
  </si>
  <si>
    <t>We assume that the Department will nominate domain users and provide the required datasets and scenarios for</t>
  </si>
  <si>
    <t>Yes Load testing criterion: demonstrate 100 hits/sec; UAT defect closure thresholds Bidder shall propose optimal hardware sizing as per the requirement. conducting User Acceptance Testing (UAT). Kindly confirm.</t>
  </si>
  <si>
    <t>As per RFP. Kindly reconcile the two performance criteria and confirm the final acceptance benchmark(s) and test data volumes.</t>
  </si>
  <si>
    <t>19</t>
  </si>
  <si>
    <t>2.3.10 Module 10: Integration &amp; Interoperability</t>
  </si>
  <si>
    <t>Kindly clarify whether all external systems will have readily available, documented APIs, and in cases where APIs are not available, whether integration scope excludes custom development at source systems.</t>
  </si>
  <si>
    <t>Necessary APIs/ wrappers for the GIS application shall be developed by the SI. APIs from the external systems shall be provided by the Department.</t>
  </si>
  <si>
    <t>Kindly confirm that all third‐party services (SMS, Email, WhatsApp, Payment Gateway, etc.) will be provided by the Department, and bidder scope is limited to API‐based integration and configuration only, without any procurement responsibility.</t>
  </si>
  <si>
    <t>Please confirm required export formats (Shapefile, GeoJSON, GPKG, KML), coordinate precision rules, and max export size per request/user/day.</t>
  </si>
  <si>
    <t>The RFP requires integration with external services such as payment gateways, messaging services, and other departmental systems. We assume that APIs or integration</t>
  </si>
  <si>
    <t>Yes Section 2.3.9 Testing &amp; QA, Performance &amp; load testing mentions 20% concurrent users; Go‐Live requires 100 hits/sec interfaces for such systems will be provided by the respective system owners or the Department. Kindly confirm.</t>
  </si>
  <si>
    <t>.: To plan integration sequencing and testing schedules, kindly confirm which integrations are required mandatorily at Go‐Live versus those planned for subsequent phases (e.g., payments, permits, SMS/WhatsApp, SSO, e‐office, environment portals, other departmental systems).</t>
  </si>
  <si>
    <t>Will be ascertained during SRS phase.</t>
  </si>
  <si>
    <t>.: Please clarify: (a) Will the Department provide or nominate specific gateway providers for payment, SMS, email, and WhatsApp? (b) Will the Department provide API credentials and sandbox environments for integration testing? (c) Are the costs of gateway subscriptions (SMS credits, WhatsApp Business API, payment gateway charges) to be borne by the bidder or the Department? (d) How many external system integrations are expected in total at the time of go‐live?</t>
  </si>
  <si>
    <t>a. Yes b. Yes c. Department d. As per RFP, further details shall ascertained during SRS phase.</t>
  </si>
  <si>
    <t>.: To leverage existing enterprise components and reduce duplication, kindly confirm whether DM&amp;G/TGTS has any reusable systems such as GIS server/services, Document Management System (DMS), SSO/Identity provider, workflow engine, SMS/email gateways, or e‐ office integrations. If yes, please share the component name/version and integration feasibility.</t>
  </si>
  <si>
    <t>No.</t>
  </si>
  <si>
    <t>Kindly confirm mandatory OGC services (WMS, WFS, WCS, CSW) and expectations for API versioning, rate limiting, and API analytics tools.</t>
  </si>
  <si>
    <t>Shall be shared during SRS phase.</t>
  </si>
  <si>
    <t>Kindly confirm authentication patterns (OAuth2/OIDC), SSO with Government identity (ePramaan/AD), API pagination limits, and webhook/eventing needs.</t>
  </si>
  <si>
    <t>.: If vehicle‐wise tracking is expected, kindly confirm: (a) GPS/fleet data source and API availability; (b) responsibility for devices/platform (DM&amp;G/lessee/third party); (c) whether mine‐wise vehicle lists will be provided by the Department.</t>
  </si>
  <si>
    <t>GPS based tracking is currently done by the department, appropriate APIs have to be developed for integration with the existing system.</t>
  </si>
  <si>
    <t>20</t>
  </si>
  <si>
    <t>Who will provide the third party integration cost ?? Please specify the “other services” mentioned in this clause</t>
  </si>
  <si>
    <t>Third party integration to be done at the bidders cost, appropriate APIs shall be shared by the relevant third party application.</t>
  </si>
  <si>
    <t>2.3.11 Module 11: Revenue Information Mgmt</t>
  </si>
  <si>
    <t>.: Please clarify: (a) Is integration with the State Treasury/eTreasury system required for revenue reconciliation? (b) Is integration with the mining tenement management system (if any existing system) required? (c) Will the Department provide the complete royalty rate schedule and calculation rules for all minerals? (d) Is online payment collection through the platform within scope, or is it limited to tracking payments made through external systems?</t>
  </si>
  <si>
    <t>a. Not required b. mining tenement management system integration required c. yes d. not required</t>
  </si>
  <si>
    <t>Please confirm data sources, historical backfill requirements, and expectations for AI/ML model transparency and explainability.</t>
  </si>
  <si>
    <t>Will be shared during SRS phase</t>
  </si>
  <si>
    <t>21</t>
  </si>
  <si>
    <t>2.3.12 Interface to Other Applications</t>
  </si>
  <si>
    <t>.: The RFP states integration with 'other applications identified by the User Department' without specifying these applications. Please clarify: (a) Can the Department provide a definitive list of applications/systems to be integrated? (b) What is the expected number of such integrations? (c) Will APIs or documentation for these external systems be provided by the respective departments? (d) Are these integrations within the current scope, or will they be handled through change requests?</t>
  </si>
  <si>
    <t>a.b: Shall be shared during the SRS phase. C. APIs shall be provided by the respective departments. d. Integrations are within the scope.</t>
  </si>
  <si>
    <t>Please provide the list of target systems, API specs, data exchange formats/frequencies, and UAT environments.</t>
  </si>
  <si>
    <t>22</t>
  </si>
  <si>
    <t>2.3.13 Capacity Building &amp; Change Management</t>
  </si>
  <si>
    <t>ii) Change Approval and Implementation Change Requests shall be reviewed by the PMU of the User Department / TGTS and submitted to the Project Awarding Committee for approval or rejection. Approved changes forming part of the existing solution scope shall be implemented by the Service Provider at no additional cost. Timelines and scope documents shall be revised accordingly. Major changes involving new modules, significant functional enhancements, etc. shall be treated as scope change and executed on mutually agreed terms, as approved by the project committee.</t>
  </si>
  <si>
    <t>2.3.14 Go-Live Requirements</t>
  </si>
  <si>
    <t>Who will responsible for CERT‐IN security audit ? If this is the responsibility of the bidder, should the bidder include the cost of the CERT‐IN security audit ?</t>
  </si>
  <si>
    <t>Cost shall be borne by the Department, but resolution of issues identified is the responsibility of the bidder/ implementation agency in minimal number of iterations and the bidder is expected to develop the solution by employing security by design.</t>
  </si>
  <si>
    <t>The RFP indicates that the Department may prioritize deliverables during implementation. We assume that the system rollout may be conducted in a phased manner if required by the Department prior to statewide deployment. Kindly confirm.</t>
  </si>
  <si>
    <t>As per RFP</t>
  </si>
  <si>
    <t>.: Please clarify: (a) Is 100 hits/sec the minimum threshold, or should the system be tested for the full concurrent user load as defined in Annexure IX (1,000 concurrent users / 2,500 peak)? (b) Will the Department accept a reputed third‐party load testing tool report (e.g., Apache JMeter, Gatling) conducted by the bidder, or must a separate third‐party agency be appointed? (c) If a third‐party agency is to be appointed, who bears the cost – bidder or Department?</t>
  </si>
  <si>
    <t>a. the system be tested for the full concurrent user load, as defined in Annexure IX b. Reputed 3rd party testing tool reports shall be sufficient c. The department may engage a third party agency at own cost, as necessary.</t>
  </si>
  <si>
    <t>Kindly confirm whether the required infrastructure sizing and performance environment (cloud resources) will be provisioned by the Department to meet the specified load benchmarks.</t>
  </si>
  <si>
    <t>The Department shall provide the hardware/ cloud infra based on project requirements. Bidder shall propose optimal hardware sizing as per the requirement.</t>
  </si>
  <si>
    <t>23</t>
  </si>
  <si>
    <t>2.3.17 Manpower Requirements &amp; Deployment</t>
  </si>
  <si>
    <t>2.3.17.1 Objective The Service Provider shall deploy qualified, experienced, and dedicated technical and functional personnel for the design, development, implementation, integration, testing, deployment, and operations &amp; maintenance of the Mine Monitoring and Decision Support System. The manpower shall have prior experience in Government GIS systems, enterprise application development, cloud deployment, and system integration. The project Manager shall work under the supervision of the Department / TGTS and shall comply with project timelines, SLAs, and quality standards.</t>
  </si>
  <si>
    <t>2.3.15 Project Timelines</t>
  </si>
  <si>
    <t>.: Please clarify: (a) The timeline of T+15 days for SRS seems very aggressive given the complexity of 11 modules. Can this be extended to T+30 days? (b) The development timeline from SRS approval to Beta Go‐Live is only 60 days for a platform with Web‐GIS, AI/ML, 93+ integration requirements, and 11 modules. Is TGTS open to revising this to a more realistic timeline of 120 (minimum) to 150 (up to) days? (c) Do the timelines include the Department's review and approval time, or are these the total working days for the bidder? (d) Will the Department provide dedicated resources for requirements gathering, UAT, and sign‐off within these timelines?</t>
  </si>
  <si>
    <t>a.b: Refer revised timelines c. Yes d. The Department will facilitate resource for coordination</t>
  </si>
  <si>
    <t>Please confirm whether these are calendar days and if Department review/approval durations are excluded. Is any stabilization buffer before SLA enforcement envisaged?</t>
  </si>
  <si>
    <t>Shall be Telangana Government Working Days.</t>
  </si>
  <si>
    <t>Revised Timelines: S. Description of No. of No deliverable days 1 Issuance of a work T order 2 Configuration of Cloud T + 30 Infra and Hardware days 3 Application SRS T + 30 days 4 Application T + 90 Development and Beta days Go – Live 5 Application Go ‐ live T + 120 days = T1 6 O&amp;M – Mine Dept. T1+ 32 Application Months</t>
  </si>
  <si>
    <t>Can the development activities for the proposed system be carried out from the System Integrator’s office? Kindly confirm whether onsite presence of the development team is required during any stage of the project.</t>
  </si>
  <si>
    <t>Project Manager shall be located onsite as required, the development team shall be at SIs office. Other team members shall be available onsite on need basis. Section 2.3.15 Project Timelines 2.3.15 Project Timelines S No Description of deliverable No. of days 1 Issuance of a work order T 2 Configuration of Cloud Infra and Hardware T + 5 days 3 Application SRS T + 15 days 4 Application Development and Beta Go – Live T + 75 days 5 Application Go - live T + 90 days = T1 6 O&amp;M – Mine Dept. Application T1+ 33 Months S. No Description of deliverable No. of days 1 Issuance of a work order T 2 Configuration of Cloud Infra and Hardware T + 30 days 3 Application SRS T + 30 days 4 Application Development and Beta Go – Live T + 90 days 5 Application Go ‐ live T + 120 days = T1 6 O&amp;M – Mine Dept. Application T1+ 32 Months</t>
  </si>
  <si>
    <t>24</t>
  </si>
  <si>
    <t>2.3.17.2 Minimum Manpower Requirements – Development Phase The Service Provider shall deploy the following minimum manpower during the Development and Implementation Phase. However, the SI may deploy the appropriate manpower at each phase of the project to meet the project requirements &amp; timelines. Project Manager shall be located onsite as required and the development team shall be at System Integrator(Bidder) office. Team members shall be available onsite on need basis.</t>
  </si>
  <si>
    <t>We kindly request</t>
  </si>
  <si>
    <t>Project Manager shall be located onsite as required, the development team shall be at SIs office. Other team members shall be available onsite on need basis. clarification on whether all resources are required to be deployed onsite during the Development phase. We request the Authority to permit deployment of only required key resources at site during the Development phase, with the remaining team working remotely, while ensuring timely delivery and compliance with project requirements.</t>
  </si>
  <si>
    <t>NeoGeoInfo Technologies Limited</t>
  </si>
  <si>
    <t>Kindly clarify the following points: 1. Whether the proposed resources are required to be deployed at the client’s location. 2. If the resources are to be deployed onsite, please confirm who will be responsible for providing the necessary hardware and infrastructure required for the team.</t>
  </si>
  <si>
    <t>Project Manager shall be located onsite as required, the development team shall be at SIs office. Other team members shall be available onsite on need basis. 2.3.17.2 Minimum Manpower Requirements – Development Phase Minimum Manpower Requirements – Development Phase and O&amp;M Phase</t>
  </si>
  <si>
    <t>We request you to kindly clarify who will be responsible for providing the necessary hardware and supporting infrastructure required for the proposed team.</t>
  </si>
  <si>
    <t>The SI shall provide necessary hardware and supporting infrastructure required for the proposed team.</t>
  </si>
  <si>
    <t>Please confirm onsite/offsite expectations per role during Development, and whether role consolidation with higher‐skilled profiles is acceptable.</t>
  </si>
  <si>
    <t>Project Manager shall be located onsite as required, the development team shall be at SIs office. Other team members shall be available onsite on need basis. Role consolidation with higher‐skilled profiles is not acceptable. Refer at serial no 138</t>
  </si>
  <si>
    <t>.: Please clarify: (a) Are all 16 development phase resources required to be deployed onsite at Hyderabad? (b) Can any roles be fulfilled through offshore/remote resources? (c) Is manpower deployment required from Day 1 (T+0), or should it ramp up based on project phases? (d) Is the manpower list a minimum requirement, or will bidders be evaluated on proposing additional resources?</t>
  </si>
  <si>
    <t>a.b: Project Manager shall be located onsite as required, the development team shall be at SIs office. Other team members shall be available onsite on need basis. c.d: Please refer serial no. 132</t>
  </si>
  <si>
    <t>25</t>
  </si>
  <si>
    <t>2.3.17.3 Minimum Manpower Requirements – O&amp;M Phase The Service Provider shall deploy the following manpower during the Operations and Maintenance Phase. However, the SI may deploy the appropriate manpower at each phase of the project to meet the project requirements &amp; SLAs. Technical Support Lead shall be located onsite/ offsite as required and the other Section 2.3.17 Manpower Requirements (Development), team members shall be at System Integrator(Bidder) office. Team members shall be available onsite on need basis.</t>
  </si>
  <si>
    <t>Kindly specify required onsite presence, duty station, and the helpdesk operating model (24x7 vs business hours).</t>
  </si>
  <si>
    <t>Refer at serial no 138</t>
  </si>
  <si>
    <t>.: Please clarify: (a) Is there a transition period where both development and O&amp;M teams overlap? (b) Can some O&amp;M roles be handled by the same resources from the development phase? (c) Is the O&amp;M team expected to be onsite full‐time for the entire 33‐month period?</t>
  </si>
  <si>
    <t>a. The SI shall, while taking the department into confidence decide the overlap period if necessary b. The resources shall be deployed as per minimum qualification requirements in the RFP. c. The O&amp;M team shall primarily work out of SIs office, and shall be available onsite based on need basis. Refer at serial no 138</t>
  </si>
  <si>
    <t>3.1 Bid Submission Procedure</t>
  </si>
  <si>
    <t>.: Please clarify: (a) Is there a file size limit for uploading documents on the e‐ procurement portal? (b) Can supporting documents (e.g., completion certificates, financial statements) be uploaded as separate files, or must everything be in a single PDF? (c) Is digital signature on uploaded PDFs mandatory?</t>
  </si>
  <si>
    <t>Refer eProcurement website for more information. Bids shall be submitted ONLINE with searchable OCR PDF files at 300 DPI Resolution</t>
  </si>
  <si>
    <t>26</t>
  </si>
  <si>
    <t>Please confirm whether architecture diagrams, deployment scripts (IaC), and threat models are expected as part of Technical Bid or post‐award.</t>
  </si>
  <si>
    <t>Shall be presented as part of Technical Bid Section 2.3.17 Manpower Requirements (O&amp;M)</t>
  </si>
  <si>
    <t>27</t>
  </si>
  <si>
    <t>3.2 Pre-Qualification Criteria</t>
  </si>
  <si>
    <t>Stesalit Systems Limited</t>
  </si>
  <si>
    <t>We kindly request the authority to clarify the maximum number of consortium partners that can participate along with the Lead Bidder.</t>
  </si>
  <si>
    <t>Consortium &amp; sub‐contracting not allowed ‐ Refer at serial no. 144.</t>
  </si>
  <si>
    <t>1. Legal Entity: The bidder should be an IT Company/ Firm registered under the Indian Companies Act, 1956, as amended in 2013 (or) a firm registered under the Limited Liability Partnership Act,2008 (or) a firm registered under the Partnership Act,1932.</t>
  </si>
  <si>
    <t>Please confirm whether consortium bidding is permitted, limits on partners, and subcontracting of specific components.</t>
  </si>
  <si>
    <t>Consortium &amp; sub‐contracting not allowed ‐ Refer at serial no. 144</t>
  </si>
  <si>
    <t>30</t>
  </si>
  <si>
    <t>3.3 Technical Bid Evaluation</t>
  </si>
  <si>
    <t>We request you to kindly check Max Marks, it should be 15 marks for &gt;=5 Cr. Please confirm.</t>
  </si>
  <si>
    <t>Refer at serial no. 167</t>
  </si>
  <si>
    <t>We kindly request the</t>
  </si>
  <si>
    <t>Refer at serial no 169 authority to consider acceptance of CMMI Level 3 instead of CMMI Level 5 under this criterion. For this kind of project, CMMI Level 3 is generally considered sufficient to ensure well‐ defined processes and effective project execution. The Bidder should have the Certifications i. ISO 9001:2015 – 1 Mark. ii. ISO 27001:2013 – 2 Marks. iii. CMMI Level 5 – 2 Marks.</t>
  </si>
  <si>
    <t>We respectfully submit that RBAC, encryption, and audit logs are already part of the CERT‐In and Government IT security guidelines. Therefore, we request the Authority to consider compliance with CERT‐In guidelines as covering these security controls, and to evaluate this criterion accordingly instead of treating them as separate requirements.</t>
  </si>
  <si>
    <t>Refer at serial no 171</t>
  </si>
  <si>
    <t>We respectfully request you to consider awarding 2 marks to CMMI Level 3 certified companies, as there is minimal practical difference in process maturity between CMMI Level 3 and Level 5 with respect to project execution and delivery capability. Allowing marks for Level 3 certified organizations will encourage participation from more competent and experienced companies, ensuring healthy competition while still maintaining the required quality standards.</t>
  </si>
  <si>
    <t>Refer at serial no 169</t>
  </si>
  <si>
    <t>We request you allow declaration to perform all data security &amp; compliance for this project.</t>
  </si>
  <si>
    <t>We kindly request the authority to consider modifying the clause as follows: i. ISO 9001:2015 – 1 Mark ii. ISO 27001:2013 – 2 Marks iii. CMMI Level 3 – 2 Marks This modification would reflect comparable maturity in quality processes and information security management while enabling broader participation of qualified bidders.</t>
  </si>
  <si>
    <t>The marking criteria should be changed accordingly, as the maximum marks for this clause is 15.</t>
  </si>
  <si>
    <t>Refer at serial no 167</t>
  </si>
  <si>
    <t>ISO 27001:2013 is now changed as ISO 27001:2022, we are requesting to change this accordingly. We understand that CMMI certification is generally required for complex Web Application Development projects. However, CMMI Level 3 certification is adequate to ensure defined processes, quality assurance, and successful project execution. In view of the above, we kindly request you to amend the clause to specify CMMI Level 3 instead of the currently prescribed higher level. We request your kind consideration and necessary amendment to the tender clause accordingly.</t>
  </si>
  <si>
    <t>.: Maximum marks can never be 15 in this case, as only 2, 5 or 10 marks can be awarded. Please clarify whether the marking is actually this: ‐ &gt;= 2 Cr ‐ 5 Marks &gt;= 3 Cr ‐ 10 Marks &gt;= 5 Cr ‐ 15 Marks</t>
  </si>
  <si>
    <t>.: Please clarify: (a) Is the bidder expected to demonstrate an existing Web‐GIS platform or develop a prototype specific to this project? (b) What is the minimum expected scope of the live demonstration (e.g., map visualization, layer management, dashboard, search)? (c) Will the demonstration be conducted at TGTS office or can it be via video conference? (d) How much time will be allotted for the demonstration? (e) Will the evaluation criteria for the 35 marks be shared in advance?</t>
  </si>
  <si>
    <t>a. The functionality has to be demonstrated as per evaluation criteria b. As per RFP. c.d: In person presentation/ demonstration at TGTS office for approximately 30 minutes. e. Refer at serial no 172</t>
  </si>
  <si>
    <t>Considering the magnitude, technical complexity, and strategic importance of the proposed large‐scale project, we respectfully request a revision to the prescribed evaluation criteria to ensure alignment with the project’s scope and industry benchmarks. In this regard, we propose the following modification to the marking criteria: • Turnover with value ≥ ₹50 Crore – 2 Marks • Turnover with value ≥ ₹80 Crore – 5 Marks • Turnover with value ≥ ₹100 Crore – 10 Marks</t>
  </si>
  <si>
    <t>31</t>
  </si>
  <si>
    <t>Compliance to Authentication and Access Control, compliance to Encryptions of Data in Transit &amp; Data in Rest, Audit Trails, Data Segregation ‐ Separation of Public vs Restricted Data Sets, Compliance with Govt. IT security guidelines / CERT‐In, etc.</t>
  </si>
  <si>
    <t>Which documentary evidence is required for this Technical Bid Evaluation clause under both marking criteria ? Please specify.</t>
  </si>
  <si>
    <t>.: Please clarify the documents required for the "RBAC, encryption, audit logs" CERT‐In Certfication is done for every Project before Go Live. The CERT‐In Certificate received for any other Projects will not be applicable for this project.</t>
  </si>
  <si>
    <t>Kindly clarify whether, for the live demonstration of the Web‐GIS platform required in the RFP, bidders are permitted to demonstrate an already deployed platform or a prototype system. Additionally, please confirm whether the demonstration must strictly use mining‐related datasets or if generic geospatial datasets may also be used for demonstration purposes. We also request confirmation on the expected duration and format of the technical presentation. Furthermore, kindly clarify whether the demonstration may include the use of open‐source Web‐ GIS frameworks such as GeoServer, Leaflet, OpenLayers, or MapLibre</t>
  </si>
  <si>
    <t>The functionality has to be demonstrated as per evaluation criteria. In person presentation/ demonstration at TGTS office for approximately 30 minutes. Demonstration may include the use of open‐source Web‐GIS frameworks.</t>
  </si>
  <si>
    <t>4.3 QCBS / Bid Evaluation Formula</t>
  </si>
  <si>
    <t>.: Please confirm: (a) The QCBS formula uses normalized financial scoring. Is the formula Fn = (Fmin/Fb) × 100, where Fmin is the lowest financial bid? (b) What is the minimum technical score to qualify for financial evaluation – is it 70 marks? (c) Are taxes included in the financial evaluation, or is evaluation on pre‐tax amounts?</t>
  </si>
  <si>
    <t>a. 4.3.1 Overall Bid Evaluation Process The overall score will be calculated as follows: Bn = 0.60 × Tn + 0.40 × Fn b. As per RFP ‐ The Bidder has to secure 70 Marks for the minimum qualification marks in the technical evaluation criteria. c. Total lum sum cost including taxes Refer at Serial No.174.</t>
  </si>
  <si>
    <t>The bidder shall have a minimum average annual turnover of Rs. 2 crores in the last 3 financial years of operations from 2022‐25. IT Application development &amp; maintenance, ITeS services, and should have a positive net worth. Marks Max Marks &gt;= 2 Cr to &lt; 3 Cr ‐ 5 Marks 15 &gt;=3 Cr to &lt; 5 Cr ‐ 10 Marks &gt;= 5 Cr ‐ 15 Marks Supporting Documents: Extracts of audited financial statements/ Certificate from the Statutory Auditor OR The bidder must upload a Certificate of Registration from DPIIT as a startup, and the registration should be valid as of the bidding date.</t>
  </si>
  <si>
    <t>The Bidder should have executed open source based Web/Mobile‐based GIS project for any Central / State Govt. / PSU Organization in India in the last 5 years, as per the following details. GIS Projects per work order value: Marks Max Marks &gt;= 1 Cr to &lt; 2 Cr ‐ 2 Marks 15 &gt;= 2 Cr to &lt;3 Cr ‐ 5 Marks &gt;= 3 Cr to &lt;4 Cr ‐ 8 Marks &gt;=4 Cr to &lt;5 Cr ‐10 Marks &gt;=5 Cr ‐15 Marks Documents / Certificates for each project: Marks Max Marks &gt;= 2 Cr to &lt; 3 Cr ‐ 5 Marks &gt;=3 Cr to &lt; 5 Cr ‐ 10 Marks &gt;= 5 Cr ‐ 15 Marks 15 Marks Max Marks &gt;= 2 Cr ‐ 2 Marks &gt;= 3 Cr ‐ 5 Marks &gt;= 5 Cr ‐ 10 Marks 15 Marks Max Marks &gt;= 1 Cr ‐ 2 Marks &gt;= 2 Cr ‐ 5 Marks &gt;= 3 Cr ‐ 8 Marks &gt;=4 Cr ‐10 Marks &gt;=5 Cr ‐15 Marks 15 Marks Max Marks &gt;= 1 Cr to &lt; 2 Cr ‐ 2 Marks &gt;= 2 Cr to &lt;3 Cr ‐ 5 Marks &gt;= 3 Cr to &lt;4 Cr ‐ 8 Marks &gt;=4 Cr to &lt;5 Cr ‐10 Marks &gt;=5 Cr ‐15 Marks 15 Purchase orders / Work orders, along with Work Completion Certificate from the client, signed by an authorized signatory. Certificate from the client signed by the authorized signatory on Working satisfactorily OR The bidder must upload a Certificate of Registration from DPIIT as a start‐up, and the registration should be valid as of the bidding date.</t>
  </si>
  <si>
    <t>The Bidder should have the Certifications: Marks Max Marks i.ISO 9001:2015 – 2 Mark. 10 ii. ISO 27001:2013/ ISO 27001:2022 – 3 Marks. iii.CMMI Level 3 – 2 Marks. iv.CMMI Level 5 – 5 Marks. Copy of the relevant valid certifications</t>
  </si>
  <si>
    <t>The bidder must have a minimum of 20 IT professionals on its roll, in the domain of Web Application Development &amp; Maintenance, IS, Mobile Applications, Web portal /Server maintenance, etc. For this purpose, the term ‘IT professional’ means a person with a graduate degree or a higher qualification in Electronics/ Computer/ IT or equivalent from a recognized university employed by the company. Number of Employees Marks Max Marks Marks Max Marks i. ISO 9001:2015 ‐ 1 Mark. ii. ISO 27001:2013 ‐ 2 Marks. iii.CMMI Level 5 ‐ 2 Marks. 5 Marks Max Marks i.ISO 9001:2015 – 2 Mark. ii. ISO 27001:2013/ ISO 27001:2022 – 3 Marks. iii.CMMI Level 3 – 2 Marks. iv.CMMI Level 5 – 5 Marks. 10 Marks Max Marks Marks Max Marks i. 20 ‐ 25 ‐ 5 Marks 10 ii. 25 ‐ 30 – 7 Marks iii. 30 or above ‐ 10 Marks i. 20 ‐ 25 ‐ 5 Marks 10 ii. 25 ‐ 30 – 7 Marks iii. 30 or above ‐ 10 Marks Certified copy from the human resources department of the company with the following details for each of the employees: Name: Designation: Qualification: Domain: Experience:</t>
  </si>
  <si>
    <t>Data Security &amp; Compliance Marks Max Marks RBAC, encryption, audit logs – 2 5 Marks Compliance with Govt. IT security guidelines / CERT‐In – 3 Marks Self declaration shall be submitted on the letter head of the bidder, along with relevant proofs. i. 20 ‐ 25 ‐ 5 Marks ii. 25 ‐ 30 – 7 Marks iii. 30 or above ‐ 10 Marks 10 i. 20 ‐ 25 ‐ 5 Marks ii. 25 ‐ 30 – 7 Marks iii. 30 or above ‐ 10 Marks 10 Marks Max Marks RBAC, encryption, audit logs – 6 Marks Compliance with Govt. IT security guidelines / CERT‐In – 4 Marks 10 Marks Max Marks RBAC, encryption, audit logs – 2 Marks Compliance with Govt. IT security guidelines / CERT‐In – 3 Marks 5</t>
  </si>
  <si>
    <t>Marks Max Marks Technical Demonstration of 35 Project: (Technical presentation is also required) The bidder shall provide a live demonstration of a Web‐GIS platform with the following capabilities: •Multi‐Format Visualization – Display 2D imagery &amp; 3D ready capability, administrative boundaries, and other thematic layers with interactive tools to visualize and seamlessly navigate between products. ‐ 5 Marks •Dashboards – Configurable dashboards for operational monitoring and data analytics. ‐ 5 Marks •Understanding the Project Requirements ‐ 5 Marks •Project Implementation Methodology, and Resource Management &amp; Deployment Plan, Training Plan, Risk Management &amp; Communication Plan ‐ 5 Marks •Technical Architecture &amp; Hardware Sizing ‐ 5 Marks •Strategy for Operations &amp; Maintenance of the solution, along with helpdesk setup and escalation mechanism, Exit Management plan ‐ 10 Marks Detailed solution document along with Bid Presentation to TEC Marks Max Marks Technical Demonstration of Project: (Technical presentation is also required) ●The bidder shall provide a live demonstration of a Web‐GIS platform with the following capabilities: ●Mul(cid:415)‐Format Visualization – Display 2D imagery, administrative boundaries, and other thematic layers with interactive tools to visualize and seamlessly navigate between products. ●Dashboards – Configurable dashboards for operational monitoring and data analytics. ●Technical Understanding of requirement, Methodology, and Resource Deployment Plan, Training Plan‐ 35 Marks Max Marks Technical Demonstration of Project: (Technical presentation is also required) The bidder shall provide a live demonstration of a Web‐GIS platform with the following capabilities: •Multi‐Format Visualization – Display 2D imagery &amp; 3D ready capability, administrative boundaries, and other thematic layers with interactive tools to visualize and seamlessly navigate between products. ‐ 5 Marks •Dashboards – Configurable dashboards for operational monitoring and data analytics. ‐ 5 Marks •Understanding the Project Requirements ‐ 5 Marks •Project Implementation Methodology, and Resource Management &amp; Deployment Plan, Training Plan, Risk Management &amp; Communication Plan ‐ 5 Marks •Technical Architecture &amp; Hardware Sizing ‐ 5 Marks •Strategy for Operations &amp; Maintenance of the solution, along with helpdesk setup and escalation mechanism, Exit Management plan ‐ 10 Marks 35 ●Strategy for Operations &amp; Maintenance of the solution, along with helpdesk setup and escalation mechanism, Exit Management plan ●Technical presentation and web‐based prototype demonstration of the desired platform In person technical presentation/ demonstration at TGTS office on the prescribed date and time</t>
  </si>
  <si>
    <t>32</t>
  </si>
  <si>
    <t>4.1/4.2 Financials (EMD, Payment, Contract Period)</t>
  </si>
  <si>
    <t>1. BID Security (EMD) Earnest Money Deposit (EMD) of Rs 5.00 lakhs (Rupees Five Lakhs). Scanned copies of the EMD document should be uploaded to the e‐ Procurement website. The original instruments of EMD should be submitted to TGTS before the opening of the PQ bids. EMD shall be submitted in the name of “The Managing Director, Telangana Technology Services (TGTS)” in the form of DD/Banker Cheque/Bank Guarantee (BG) from any Nationalized bank/ Scheduled Bank having a Branch at Hyderabad. OR The bidder must upload a Certificate of Registration from DPIIT as a startup, and the registration should be valid as of the bidding date, for the exemption of EMD.</t>
  </si>
  <si>
    <t>9. Selection mode The Selection of the agency will be on the QCBS mode, 60% for Technical Weightage and 40% Score for Commercial Weightage. Bidders who secure the highest marks in the evaluation process will be awarded.</t>
  </si>
  <si>
    <t>We request the department to kindly exempt MSME‐registered bidders (with valid registration document) from submitting the EMD amount, as per Government of India guidelines for MSME participation in tenders. Kindly confirm if this exemption is applicable for this tender.</t>
  </si>
  <si>
    <t>As per prevailing government policies and procurement guidelines, Micro, Small and Medium Enterprises (MSMEs) are granted exemptions from payment of EMD. We kindly request that MSMEs be exempted from paying the EMD for this tender. MSME bidders can provide valid proof of registration (such as Udyam Registration Certificate or equivalent) to establish their eligibility for this exemption</t>
  </si>
  <si>
    <t>whether EMD is exempted for MSME Bidder ? If no whether we can take the EMD in favour of DD , FDR please clarify</t>
  </si>
  <si>
    <t>As per RFP. In the form of DD/Banker Cheque/Bank Guarantee (BG) from any Nationalized bank/Scheduled Bank having a Branch at Hyderabad.</t>
  </si>
  <si>
    <t>We request you to kindly waive the EMD requirement for MSME‐registered bidders, as per the prevailing Government of India procurement policies and MSME guidelines, which provide exemption from Earnest Money Deposit for eligible MSME enterprises.</t>
  </si>
  <si>
    <t>We request exemption from submission of the Earnest Money Deposit (EMD) as per the provisions of the MSMED Act 2006.</t>
  </si>
  <si>
    <t>.: Please clarify: (a) Is the contract renewable beyond 3 years? If so, on what terms? (b) Section 5.1.2 mentions 'Extension of O&amp;M contract at discretion of user department.' What are the commercial terms for extension – same rates or renegotiated? (c) If the project development is delayed due to Department dependencies (data availability, approvals), will the O&amp;M period and contract end date be extended proportionally?</t>
  </si>
  <si>
    <t>a. b. After the expiration of the contract, it may be renewed based on performance and mutually agreed terms &amp; conditions. c. No</t>
  </si>
  <si>
    <t>.: Please clarify: (a) Is the 5% PBG calculated on the total project value (development + O&amp;M) or development cost only? (b) The validity period extends 60 days beyond all contractual obligations including warranty. Given the 3‐year contract, does this mean PBG must be valid for approximately 3 years + 60 days? (c) Will multiple PBGs (for development and O&amp;M separately) be acceptable?</t>
  </si>
  <si>
    <t>a. PBG shall be calculated on the total project value (development + O&amp;M) b. Yes c. No</t>
  </si>
  <si>
    <t>33</t>
  </si>
  <si>
    <t>Whether Hardcopy submission is mandatory? Or only soft copy online submission of bids is sufficient</t>
  </si>
  <si>
    <t>As per existing clause: The Documents that are uploaded online on e‐procurement will only be considered for Bid Evaluation. However, the bidding authority, at any point in the tendering process, may request the bidders to submit the Physical documents as uploaded in the e‐procurement portal for clarification.</t>
  </si>
  <si>
    <t>34</t>
  </si>
  <si>
    <t>.: Please clarify: (a) What is the split between Application Development Cost and O&amp;M Cost in the financial bid format? (b) The RFP mentions 'Application Cost' and 'O&amp;M' separately. Is cloud infrastructure cost part of Application Cost or a separate line item? (c) 11 quarterly instalments over 33 months of O&amp;M – does this include a hypercare period, or is hypercare separate? (d) Is mobilization advance or any upfront payment provided to the bidder?</t>
  </si>
  <si>
    <t>a. The bidder shall provide cost for Application Development (Project Implementation) and O&amp;M separately. Total cost to be included also. b. Hardware/ cloud infrastructure shall be provided by the Department c. Hypercare period is part of the O&amp;M phase. Refer at serial no 185 for payment terms. d. No</t>
  </si>
  <si>
    <t>Kindly confirm if partial payments are permissible against module‐wise deliveries within Beta, and whether any advance/mobilization payment is envisaged.</t>
  </si>
  <si>
    <t>Milestone</t>
  </si>
  <si>
    <t>Amount to be released Application SRS Approval &amp; Configuration of Cloud Infra and Hardware 15% of Development Cost Application Beta Go – Live 50% of Development Cost Application Go - live 35% of Development Cost O&amp;M – Application Equal Quarterly Instalments</t>
  </si>
  <si>
    <t>Please confirm acceptance/sign‐off authority, typical invoice review cycle, and applicability of e‐invoice/GeM.</t>
  </si>
  <si>
    <t>Director Mines &amp; Geology will be the acceptance/sign‐off authority. Other conditions as per RFP. Section 4.2 Project Timelines (Payment Schedule) Section 4.2 Project Timelines (Payment Schedule) Milestone Amount to be released Application SRS Approval 15% of Application Cost Application Beta Go – Live 50% of Application Cost Application Go - live 35% of Application Cost O&amp;M – Application Quarterly 11 Equal Instalments</t>
  </si>
  <si>
    <t>35</t>
  </si>
  <si>
    <t>4.3.1 Overall Bid Evaluation Process The overall score will be calculated as follows: Bn = 0.60 × Tn + 0.40 × Fn</t>
  </si>
  <si>
    <t>36</t>
  </si>
  <si>
    <t>Refer RFP pg 128 ‐ Annexure X, C. Penalty Cap Clause Please confirm the overall penalty caps applicable across development and O&amp;M phases and whether any aggregate cap applies for the entire contract period.</t>
  </si>
  <si>
    <t>38</t>
  </si>
  <si>
    <t>5.1 Contract Conditions (Infra/Security/SLA/Data Governance)</t>
  </si>
  <si>
    <t>Kindly specify the target cloud (MeitY‐ empanelled CSP), tenancy model, expected environment topology (Dev/UAT/Prod/DR), and whether the SI should include cloud sizing only (not costs) in the bid.</t>
  </si>
  <si>
    <t>As per RFP. The Department shall provide the hardware/ cloud infra based on project requirements.</t>
  </si>
  <si>
    <t>41</t>
  </si>
  <si>
    <t>.: The distinction between 'minor modifications' (free) and 'new development' (chargeable) is subjective. Please clarify: (a) Is there a defined threshold for minor modifications (e.g., up to X man‐ days per quarter)? (b) Will TGTS provide a formal definition of 'minor modification' vs. 'enhancement' vs. 'new development'?</t>
  </si>
  <si>
    <t>Major changes involving new modules, significant functional enhancements, etc shall be treated as scope change and executed on mutually agreed terms between the successful bidder and the Department, as approved by the project committee. Refer at serial no 122</t>
  </si>
  <si>
    <t>Please share indicative compute/storage/network quotas (vCPU/RAM, block/object storage, bandwidth), and any tagging/FinOps policies to follow.</t>
  </si>
  <si>
    <t>Bidder shall propose the optimal infrastructure to meet the performance requirements. Section 4.1, p.32; Section 4.3.3 As per RFP. The Department shall provide the hardware/ cloud infra based on project requirements. Bidder shall propose the optimal infrastructure to meet the performance requirements.</t>
  </si>
  <si>
    <t>.: Please clarify: (a) The payment for the security audit will be borne by the bidder, but the Department will decide the audit agency. Will there be a cap on the audit cost? (b) How many security audits are expected during the 3‐year contract (at least one pre‐go‐live and annual during O&amp;M = minimum 4)? (c) Should the bidder factor estimated security audit costs into the financial bid? (d) What happens if the security audit agency selected by the Department has a significantly higher cost than market rate?</t>
  </si>
  <si>
    <t>Audit cost shall be borne by the Department, but resolution of issues identified is the responsibility of the bidder/ implementation agency in minimal number of iterations and the bidder is expected to develop the solution by employing security by design. Security audit shall be done for every major release &amp; periodically as required.</t>
  </si>
  <si>
    <t>42</t>
  </si>
  <si>
    <t>The Successful Bidder shall guarantee 99% service availability for the hosted solution. The Successful Bidder will provide regular reports and shall track and report on system uptime on a daily and weekly basis.</t>
  </si>
  <si>
    <t>.: Please clarify: (a) Is the 3‐month exit/handover period included within the 3‐year contract period, or is it in addition? (b) Will the bidder be compensated for the 3‐month handover support, or is it at no additional cost? (c) What are the specific deliverables expected during exit management beyond source code and documentation handover?</t>
  </si>
  <si>
    <t>a. Included during the 3yr contract period. b. No c. As per RFP, KT shall also be part of handover.</t>
  </si>
  <si>
    <t>Cost shall be borne by the Department, but resolution of issues identified is the responsibility of the bidder/ implementation agency in minimal number of iterations and the bidder is expected to develop the solution by employing security by design. Please confirm (a) who selects and contracts the CERT‐In audit agency, and (b) who bears the audit and re‐audit costs. Sections 5.1.9 and 5.1.15 appear to conflict.</t>
  </si>
  <si>
    <t>43</t>
  </si>
  <si>
    <t>The Department shall receive full ownership and access to all project‐ specific deliverables, including customization code, database schemas, GIS configurations, and technical documentation. However, the underlying COTS product source code is proprietary to the original software manufacturer and cannot be transferred or disclosed under any circumstance. Request to clarify and consider the point.</t>
  </si>
  <si>
    <t>Please confirm key management approach (KMS/HSM), crypto modules (FIPS 140‐2/3), and rotation policies for keys, tokens, and secrets.</t>
  </si>
  <si>
    <t>Kindly specify audit log retention duration (years), log schema, SIEM integration requirements, and time sync/NTP standards for forensics</t>
  </si>
  <si>
    <t>Confirm whether any non‐production data can be hosted outside production VPC/VNet; clarify anonymization/masking requirements for lower environments.</t>
  </si>
  <si>
    <t>Not allowed Sections 5.1.9 (p.41) and 5.1.15</t>
  </si>
  <si>
    <t>Please confirm applicability of DPDP Act 2023, need for consent logs/purpose limitation, and data subject request workflows within the system.</t>
  </si>
  <si>
    <t>Shall confirm to DPDP act 2023, department shall provide necessary support to the SI for confirmation with the same.</t>
  </si>
  <si>
    <t>Please confirm Dept. ownership of custom code and configs, and SI rights over pre‐existing accelerators with a perpetual, royalty‐free license for the project.</t>
  </si>
  <si>
    <t>Please confirm MFA factors (TOTP/SMS/email/U2F), password policy (length/complexity/rotation), and privileged access workflows (PAM).</t>
  </si>
  <si>
    <t>Shall be shared with the successful bidder</t>
  </si>
  <si>
    <t>.: Please clarify: (a) If the bidder uses pre‐existing proprietary frameworks, libraries, or accelerators for development, will the IP of such pre‐existing components also vest with the Department? (b) Can the bidder use its own reusable open‐source code components/frameworks while ensuring the Department gets full ownership of the customized deliverables? (c) Does the Department require the bidder to assign the IP of the entire source code, or is a perpetual, royalty‐ free license acceptable?</t>
  </si>
  <si>
    <t>a. The IPs for all custom generated frameworks, libraries &amp; accelerators developed under this projects shall be with the department b. yes c. The IPs for all custom generated frameworks, libraries &amp; accelerators developed under this projects shall be with the department</t>
  </si>
  <si>
    <t>44</t>
  </si>
  <si>
    <t>.: Please clarify: (a) Is TSDC the preferred/mandatory hosting location, or can the bidder choose any MeitY‐ empanelled cloud provider? (b) If TSDC, will the Department provide rack space, power, and connectivity, or should the bidder arrange these? (c) Are development/staging environments also required to be hosted within India, or can they be on the bidder's premises during development?</t>
  </si>
  <si>
    <t>a. Hardware/ cloud infrastructure shall be provisioned by the Department b. Hardware/ cloud infrastructure shall be provisioned by the Department, connectivity to be taken care of by the SI, VPN shallbe provided to the implementing department c. In India only</t>
  </si>
  <si>
    <t>.: Please clarify: (a) Is database‐level encryption (Transparent Data Encryption) required in addition to storage‐level encryption? (b) Is WAF (Web Application Firewall) within the bidder's scope, or will it be provided by the cloud/TSDC infrastructure? (c) Is VAPT (Vulnerability Assessment and Penetration Testing) required before every release or only at go‐live? (d) Is SSL certificate procurement the bidder's responsibility?</t>
  </si>
  <si>
    <t>a. Data base level encryption may not required b. Web application firewall is in the scope of the cloud/ infrastructure service provider c. VAPT shall be done at go‐live &amp; for major release d.. SSL certificate procurement will be done by the Department</t>
  </si>
  <si>
    <t>45</t>
  </si>
  <si>
    <t>Please confirm backup types (full/incremental), retention schedules (daily/weekly/monthly), and immutable backup requirements (WORM/object lock).</t>
  </si>
  <si>
    <t>Request confirmation of target RPO/RTO, DR site (region/zone), DR</t>
  </si>
  <si>
    <t>Shall be shared with the successful bidder drill frequency, and ownership of DR infra costs.</t>
  </si>
  <si>
    <t>46</t>
  </si>
  <si>
    <t>Please confirm incident severity classification, reporting template, 24‐ hour notification window applicability, and regulatory reporting expectations.</t>
  </si>
  <si>
    <t>Please confirm branching strategy expectations, CI/CD pipelines handover, artifact repositories (Nexus/Harbor), and cadence of source drops.</t>
  </si>
  <si>
    <t>Please confirm data export formats (DB dumps, GeoPackages, Shapefiles, APIs), encryption for handover media, and knowledge transfer expectations</t>
  </si>
  <si>
    <t>As per RFP, all formats are required.</t>
  </si>
  <si>
    <t>48</t>
  </si>
  <si>
    <t>Kindly confirm whether the Department will provision accounts/credentials and bear transactional costs for payment/SMS/email/WhatsApp services.</t>
  </si>
  <si>
    <t>Department shall bear the transactional cost.</t>
  </si>
  <si>
    <t>Please confirm if synthetic monitoring and RUM are acceptable for SLA evidence, and whether third‐party attestations are required quarterly.</t>
  </si>
  <si>
    <t>Yes, they are acceptable. The Department may engage third‐party audit agency at own cost, as necessary. Section 2.3.10 Integration &amp; Interoperability, p.19–21; Section 5.1.8</t>
  </si>
  <si>
    <t>49</t>
  </si>
  <si>
    <t>Availability Requirement : The Service Provider shall ensure minimum system availability of: ≥ 99% uptime per calendar month. Scheduled maintenance shall not exceed 4 hours per month and must be approved by the Department. The User Departments shall be intimated about the scheduled maintenance at least 3 days in advance.</t>
  </si>
  <si>
    <t>.: There is a discrepancy in availability SLA: Section 5.1.12 states 99.5%, Section 5.1.18(b) states 99.8%, Annexure IX states ≥ 99.5%, and Annexure X penalty matrix starts at ≥ 99% with no penalty. Please confirm the applicable availability SLA target. Also, does the availability calculation exclude scheduled maintenance (maximum 4 hours/month)?</t>
  </si>
  <si>
    <t>Refer at serial no 241. The availability calculation excludes scheduled maintenance</t>
  </si>
  <si>
    <t>.: Please clarify: (a) Are the response and resolution times based on 24x7 clock or business hours only? (b) For 'Critical' severity with 30‐minute response time, does the bidder need 24x7 on‐call support? (c) Is the 24x7 helpdesk support requirement (Section 2.3.8) applicable for the entire contract period or O&amp;M phase only? (d) What constitutes a valid 'response' – acknowledgement or start of diagnosis?</t>
  </si>
  <si>
    <t>a. Business hours only b. During business hours only c. During business hours in the O&amp;M Phase. d. valid 'response' ‐ start of diagnosis Business Hours ‐ Telangana Government working days, from 10:00 AM to 7:00 PM</t>
  </si>
  <si>
    <t>Incident Severity Classification: Severity Description Response Resolution Level Time Time Critical Complete 30 minutes 4 hours system outage or major functionality unavailable High Major feature 1 hour 6 hours failure affecting operations Medium Partial 2 hours 12 hours functionality degradation Low Minor defect 3 hours 24 hours or cosmetic issue</t>
  </si>
  <si>
    <t>59</t>
  </si>
  <si>
    <t>5.2 Termination &amp; Suspension</t>
  </si>
  <si>
    <t>We understand that in the event of suspension or termination, bidder shall be paid the fees for the services performed till the date of such suspension or termination. Request to kindly confirm this understanding.</t>
  </si>
  <si>
    <t>We request to kindly include the following clause: “The Bidder may suspend or terminate the Contract, by not less than thirty (30) days’ written notice of termination to the Client, in case: ∙ The Client does not make the payment to the Consultant; or ∙ The Client does not adhere to the arbitration judgment; or ∙ If the Bidder determines that a law, regulation or anything having similar</t>
  </si>
  <si>
    <t>As per RFP Severity Level Description Response Time Resolution Time Critical Complete system outage or major functionality unavailable 30 minutes 4 hours High Major feature failure affecting operations 1 hour 8 hours Medium Partial functionality degradation 4 hours 2 working days Low Minor defect or cosmetic issue 1 working day 5 working days Severity Level Description Response Time Resolution Time Critical Complete system outage or major functionality unavailable 30 minutes 4 hours High Major feature failure affecting operations 1 hour 6 hours Medium Partial functionality degradation 2 hours 12 hours Low Minor defect or cosmetic issue 3 hours 24 hours import, or circumstances (including cases where the Client’s ownership or constitution has changed), makes the Bidder’s performance of the Contract impermissible or in conflict with independence or professional rules applicable to the Bidder.” ‐ This will help ensure balanced obligations and mutual respect between both parties.</t>
  </si>
  <si>
    <t>60</t>
  </si>
  <si>
    <t>We request to kindly allow a cure period of thirty (30) days for rectifying any such default or failure on the part of the Bidder.</t>
  </si>
  <si>
    <t>68</t>
  </si>
  <si>
    <t>5.3 Corrupt &amp; Unethical Practices</t>
  </si>
  <si>
    <t>Please confirm formal channels and timelines for post‐bid clarifications, and whether improved commercials are allowed in BAFO/negotiation if invited.</t>
  </si>
  <si>
    <t>77</t>
  </si>
  <si>
    <t>5.4 Miscellaneous Clauses</t>
  </si>
  <si>
    <t>Requirement/ Clause Stands Deleted</t>
  </si>
  <si>
    <t>98</t>
  </si>
  <si>
    <t>Annexure VII: Financial Proposal Format</t>
  </si>
  <si>
    <t>.: Please provide a detailed financial bid format (BoQ/commercial schedule) with line items, as only a reference to the e‐procurement portal form is mentioned. Specifically: (a) Should bidders quote a lump sum for development and per‐quarter for O&amp;M? (b) Are separate line items expected for cloud infrastructure, satellite imagery, security audit, enterprise support subscriptions, training, and third‐party integrations? (c) Should manpower costs be quoted separately?</t>
  </si>
  <si>
    <t>(a) Bidders shall quote a lump sum for development and O&amp;M seperately. (b) cloud infrastructure, satellite imagery and security audit shall be department's responsibility. Other costs including enterprise support subscriptions, training, and third‐party integrations shall be under development cost. (c) No. Format as per annexure VII Financial proposal of the RFP</t>
  </si>
  <si>
    <t>99</t>
  </si>
  <si>
    <t>.: The RFP requires the system to 'support future capability for a 3D GIS map interface.' Please clarify: (a) Does this mean the architecture should be 3D‐ready, or is an actual 3D module expected during the current scope? (b) If 3D visualization is expected in the current scope, please specify the expected 3D data sources (DEMs, LiDAR, drone survey outputs). (c) Should the bidder include 3D capability costs in the current financial bid?</t>
  </si>
  <si>
    <t>The solution developed shall be 3D ready and shall Support future capability for 3D GIS map interface.</t>
  </si>
  <si>
    <t>.: Please clarify: (a) Which specific government identity/SSO systems are expected to be integrated (e.g., Telangana State SSO, Aadhaar‐based eKYC, DigiLocker)? (b) Is integration with existing departmental LDAP/Active Directory required? (c) How many user roles are expected to be defined (approximate count)? (d) Is integration with Aadhaar‐based authentication mandatory or optional?</t>
  </si>
  <si>
    <t>a. Aadhaar‐based eKYC, DigiLocker b. Yes c. Approx 10‐15 roles d. Mandatory</t>
  </si>
  <si>
    <t>105</t>
  </si>
  <si>
    <t>1. Assuming the financial data will beprovided by the department. We understand that the department holds the financial data. Request to confirm, if these data are in hardcopy or in softcopy format? 2. Does the department require a financial calculator in the portal where users or the department can calculate the financials based on the data provided by the department?</t>
  </si>
  <si>
    <t>Data shall be provided by the Department in digital format. financial calculator is required in the portal. and rates. 35. The system shall track statutory levies and cess collections. 36. The system shall maintain records of other statutory dues. 37. The system shall capture district mineral foundation (DMF) contributions. 38. The system shall track National Mineral Exploration Trust (NMET) payments. 39. The system shall record penalties imposed for violations. 40. The system shall maintain penalty payment status tracking. 41. The system shall calculate and display outstanding penalty amounts. 42 .The system shall track total outstanding amounts across all revenue heads. 43. The system shall support a consolidated financial summary view per lease. 44. The system shall generate financial compliance indicators. 45.The system shall provide payment history tracking with transaction details. 46.The system shall support role‐based manual data entry for operational information.</t>
  </si>
  <si>
    <t>107</t>
  </si>
  <si>
    <t>Assuming the data will be provided by the Department. Request to clarify</t>
  </si>
  <si>
    <t>Requesting for more information on the particular point.</t>
  </si>
  <si>
    <t>The compliance score would be based on various parameters mentioned from point no. 22 to point no.34 mentioned in RFP Page 107 ‐ Decision Support Module 4: Dashboards, MIS, and Decision Support ‐ Requirement Specification</t>
  </si>
  <si>
    <t>111</t>
  </si>
  <si>
    <t>COTS platforms come pre‐built, pre‐ tested, and production‐ready — significantly reducing deployment risk and time‐to‐value. They offer enterprise‐grade security out of the box, including role‐based access control, encryption, and audit trails with ease and seamless exprience. More importantly, COTS solutions are backed by structured, ticket‐based technical support with defined SLAs and certified engineers — meaning every issue raised by the Customer is tracked, prioritised, and resolved with full accountability. The vendor continuously delivers updates, patches, and new capabilities, ensuring the platform stays current without additional effort from the Customer. Request to consider all these functionalities to be delivered via COTS products.</t>
  </si>
  <si>
    <t>113</t>
  </si>
  <si>
    <t>Shall be based on the image resolution provided by the department.</t>
  </si>
  <si>
    <t>116</t>
  </si>
  <si>
    <t>Requirement Specification 17. The service provider shall provide helpdesk support during business hours. Business Hours ‐ Telangana Government working days, from 10:00 AM to 7:00 PM 27. Critical incidents shall be responded to within 30 minutes. 28. High‐priority incidents shall be responded to within 1 hour. 29. Medium priority incidents shall be responded to within 2 hours. 30. Low‐priority incidents shall be responded to within 3 hours. 31. Critical incidents shall be resolved within 4 hours. 32. High‐priority incidents shall be resolved within 6 hours. 33. Medium priority incidents shall be resolved within 12 hours. 34. Low‐priority incidents shall be resolved within 24 hours.</t>
  </si>
  <si>
    <t>123</t>
  </si>
  <si>
    <t>Annexure IX: Non-Functional Requirements</t>
  </si>
  <si>
    <t>.: Please clarify: (a) What is the expected total user base of the platform (total registered users)? (b) Is the 20% concurrent user assumption (as mentioned in Section 2.3.9) applicable to the 1,000 concurrent user requirement, meaning a total user base of 5,000? (c) Are the 500 concurrent GIS users a subset of the 1,000 concurrent active users, or in addition? (d) What is the basis for the 1,000 API requests/sec requirement – is there an expected external integration load?</t>
  </si>
  <si>
    <t>a.Approx 500 users b. As per RFP c. Subset d. Yes</t>
  </si>
  <si>
    <t>2.1 System Availability Parameter ‐ Requirement Application Uptime ‐ &gt;= 99% GIS services uptime ‐ &gt;= 99% API Uptime ‐ &gt;= 99% Database uptime ‐ &gt;= 99%</t>
  </si>
  <si>
    <t>124</t>
  </si>
  <si>
    <t>.: Please clarify: (a) Is the scalability to 200 TB storage expected to be demonstrated at go‐ live, or is this a future‐readiness requirement? (b) Should the bidder take into account the cost of the infrastructure for the initial capacity (10 TB, 1,000 users) or for the maximum scalable capacity (200 TB, 10,000 users)? (c) Will infrastructure augmentation for scaling be a separate cost borne by the Department?</t>
  </si>
  <si>
    <t>The department shall take care of the hardware infrastructure requirements</t>
  </si>
  <si>
    <t>125</t>
  </si>
  <si>
    <t>.: Please clarify: (a) Is a dedicated DR site mandatory, or will cloud provider's built‐in DR capabilities (multi‐AZ/multi‐region replication) be acceptable? (b) Who will bear the cost of the DR infrastructure? (c) Is DR drill testing required? If so, at what frequency? (d) RPO of ≤ 15 minutes implies near‐ real‐time replication. Please confirm if synchronous database replication is expected.</t>
  </si>
  <si>
    <t>a.b. Department shall the provide the DR infrastructure. c. Drill testing shall be done on annual basis. D. Active ‐ passive replication shall suffice.</t>
  </si>
  <si>
    <t>126</t>
  </si>
  <si>
    <t>.: Please clarify: (a) The Digital Personal Data Protection (DPDP) Act 2023 rules have been notified on 13‐14 November 2025. Apropos, will the Department provide specific compliance checklists for CERT‐ In and Telangana IT Policy? (b) Is consent management for personal data (as per DPDP) within scope?</t>
  </si>
  <si>
    <t>.: Please clarify: (a) What is the current estimated number of spatial features to be loaded at go‐live? (b) Is the 10 million spatial features requirement the initial load or the scalability target? (c) What is the expected raster data volume for satellite imagery? (d) Is tile caching (e.g., GeoWebCache) expected as part of the GIS performance optimization?</t>
  </si>
  <si>
    <t>127</t>
  </si>
  <si>
    <t>Annexure X: Penalty Matrix</t>
  </si>
  <si>
    <t>.: There is a discrepancy in Beta Go‐Live timelines: Section 2.3.15 states T+75 days, while Annexure X Penalty Matrix states T+45 days for Beta Go‐Live. Please confirm the correct Beta Go‐Live timeline. Similarly, Go‐Live is mentioned as T+90 days in Section 2.3.15 but T+60 days in Annexure X. Please clarify the correct timelines.</t>
  </si>
  <si>
    <t>Refer at serial no 241</t>
  </si>
  <si>
    <t>.: Please clarify: (a) Is the 10% quarterly penalty cap applicable cumulatively across all penalty categories in the quarter, or is the 10% cap per individual SLA parameter? (b) The penalty for availability breach at 95‐96% is 10% of Annual O&amp;M deducted quarterly – this seems disproportionate. Is the 10% applied to annual or quarterly O&amp;M? (c) Multiple penalties could be levied simultaneously (availability + incident + security + helpdesk). Is there a total maximum cap?</t>
  </si>
  <si>
    <t>a. Shall be per individual SLA parameter b. Refer at serial no 241 c. Multiple penalties shall be levied simultaneously. Refer pg 128 ‐ Annexure X, C. Penalty Cap Clause for cap.</t>
  </si>
  <si>
    <t>A. Development and Implementation Phase Penalties Deliverable Revised Timeline Configuration of Cloud T + 30 days Infra and Hardware Submission of SRS T + 30 days Beta Go‐Live T + 90 days Final Go‐Live T + 120 days Integration completion As per the plan Training and KT Before Go completion Live Security audit compliance As per the audit Deliverable Existing Timeline Cloud infrastructure readiness T + 5 days Submission of SRS T + 15 days Beta Go‐Live T + 45 days Final Go‐Live T + 60 days Integration completion As per the plan Training and KT completion Before Go Live Security audit compliance As per the audit Deliverable Revised Timeline Configuration of Cloud Infra and Hardware T + 30 days Submission of SRS T + 30 days Beta Go‐Live T + 90 days Final Go‐Live T + 120 days Integration completion As per the plan Training and KT completion Before Go Live Security audit compliance As per the audit Framework/software As per upgrade the milestone B. Operations and Maintenance Phase Penalties Existing SLA Parameter Target Penalty Application availability ≥99% ≥99% No penalty 2% of Availability ≥98% Annual to &lt;99% As defined O&amp;M 5% of Availability ≥96% Annual to &lt;98% As defined O&amp;M 10% of Availability ≥95% Annual to &lt;96% As defined O&amp;M Incident resolution ₹1,000 per delay As per SLA day Dashboard enhancement ₹5,000 per delay As agreed weekday Cybersecurity 2% of compliance Annual violation 100% O&amp;M 2% of Non performance As per the Annual of bligations contract O&amp;M Audit observation As per the 0.10% per delay audit week Helpdesk/ manpower non As per the ₹1,000 per compliance contract day Delay in SLA Monthly/ ₹5,000 per reports Quarterly delay Failure to 2% of implement As per the Annual security controls contract O&amp;M Failure to fix audit vulnerabilities 1% per within the timeline Weekly week, Framework/software As per the upgrade milestone B. Operations and Maintenance Phase Penalties SLA Existing Penalty Parameter Target Penalty Basis Application availability No ≥99% ≥99% penalty ‐ 2% of Availability Montly ≥98% to O&amp;M Quarterly &lt;99% As defined cost O&amp;M 5% of Availability Montly ≥96% to O&amp;M Quarterly &lt;98% As defined cost O&amp;M 10% of Availability Montly ≥95% to O&amp;M Quarterly &lt;96% As defined cost O&amp;M Incident ₹1,000 resolution per Per delay As per SLA weekday incident Dashboard ₹5,000 enhancement per delay As agreed weekday Per delay Cybersecurity 2% of compliance Quarterly Quarterly violation 100% O&amp;M O&amp;M Non 2% of performance As per the Annual Annual of bligations contract O&amp;M O&amp;M Audit observation As per the delay audit NA Audit fee Helpdesk/ manpower non As per the ₹1,000 Per compliance contract per day resource Delay in SLA Monthly/ ₹5,000 reports Quarterly per delay Per report Failure to implement 2% of security As per the Annual controls contract O&amp;M Per Delay Framework/software upgrade As per the milestone Framework/software upgrade As per the milestone SLA Parameter Target Existing Penalty Penalty Basis Application availability ≥99% ≥99% No penalty ‐ Availability ≥98% to &lt;99% As defined 2% of Montly O&amp;M cost Quarterly O&amp;M Availability ≥96% to &lt;98% As defined 5% of Montly O&amp;M cost Quarterly O&amp;M Availability ≥95% to &lt;96% As defined 10% of Montly O&amp;M cost Quarterly O&amp;M Incident resolution delay As per SLA ₹1,000 per weekday Per incident Dashboard enhancement delay As agreed ₹5,000 per weekday Per delay Cybersecurity compliance violation 100% 2% of Quarterly O&amp;M Quarterly O&amp;M Non performance of bligations As per the contract 2% of Annual O&amp;M Annual O&amp;M Audit observation delay As per the audit NA Audit fee Helpdesk/ manpower non compliance As per the contract ₹1,000 per day Per resource Delay in SLA reports Monthly/ Quarterly ₹5,000 per delay Per report Failure to implement security controls As per the contract 2% of Annual O&amp;M Per Delay SLA Parameter Target Existing Penalty Application availability ≥99% ≥99% No penalty Availability ≥98% to &lt;99% As defined 2% of Annual O&amp;M Availability ≥96% to &lt;98% As defined 5% of Annual O&amp;M Availability ≥95% to &lt;96% As defined 10% of Annual O&amp;M Incident resolution delay As per SLA ₹1,000 per day Dashboard enhancement delay As agreed ₹5,000 per weekday Cybersecurity compliance violation 100% 2% of Annual O&amp;M Non performance of bligations As per the contract 2% of Annual O&amp;M Audit observation delay As per the audit 0.10% per week Helpdesk/ manpower non compliance As per the contract ₹1,000 per day Delay in SLA reports Monthly/ Quarterly ₹5,000 per delay Failure to implement security controls As per the contract 2% of Annual O&amp;M Failure to fix audit vulnerabilities within the timeline Weekly 1% per week, maximum 10% 5% of Data Backup and As per the Quarterly Recovery Incident contract O&amp;M 1% of Quarterly O&amp;M per Failure to fix week, audit maximum vulnerabilities 10% of within the Quarterly timeline Weekly O&amp;M Per Delay Data Backup 5% of and Recovery As per the Quarterly Quarterly Incident contract O&amp;M O&amp;M Refer at Annexure‐I</t>
  </si>
  <si>
    <t>Overall Scope &amp; Deployment</t>
  </si>
  <si>
    <t>We understand that this is a state‐level implementation covering entire Telangana, and no separate pilot / phased rollout or geography‐wise deployment is envisaged unless specified. Kindly confirm.</t>
  </si>
  <si>
    <t>No. of Questions</t>
  </si>
  <si>
    <t>Answered/Clarified</t>
  </si>
  <si>
    <t>Deferred to SRS</t>
  </si>
  <si>
    <t>No Change</t>
  </si>
  <si>
    <t>TOTAL</t>
  </si>
  <si>
    <t>Bidder / Company</t>
  </si>
  <si>
    <t>No. of Queries Raised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</si>
</sst>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name val="Arial"/>
      <charset val="1"/>
    </font>
    <font>
      <b/>
      <sz val="10"/>
      <name val="Arial"/>
      <charset val="1"/>
    </font>
    <font>
      <sz val="10"/>
      <name val="Arial"/>
      <family val="2"/>
    </font>
  </fonts>
  <fills count="8">
    <fill>
      <patternFill patternType="none"/>
    </fill>
    <fill>
      <patternFill patternType="gray125"/>
    </fill>
    <fill>
      <patternFill patternType="solid">
        <fgColor rgb="FF1F4E78"/>
        <bgColor rgb="FF003366"/>
      </patternFill>
    </fill>
    <fill>
      <patternFill patternType="solid">
        <fgColor rgb="FFC6EFCE"/>
        <bgColor rgb="FFDCE6F1"/>
      </patternFill>
    </fill>
    <fill>
      <patternFill patternType="solid">
        <fgColor rgb="FFFFEB9C"/>
        <bgColor rgb="FFFFFFCC"/>
      </patternFill>
    </fill>
    <fill>
      <patternFill patternType="solid">
        <fgColor rgb="FFD9D9D9"/>
        <bgColor rgb="FFDCE6F1"/>
      </patternFill>
    </fill>
    <fill>
      <patternFill patternType="solid">
        <fgColor rgb="FFBDD7EE"/>
        <bgColor rgb="FFD9D9D9"/>
      </patternFill>
    </fill>
    <fill>
      <patternFill patternType="solid">
        <fgColor rgb="FFDCE6F1"/>
        <bgColor rgb="FFD9D9D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0" borderId="1" xfId="0" applyFont="1" applyBorder="1" applyAlignment="1">
      <alignment horizontal="center"/>
    </xf>
    <xf numFmtId="0" fontId="3" fillId="7" borderId="1" xfId="0" applyFont="1" applyFill="1" applyBorder="1"/>
    <xf numFmtId="0" fontId="1" fillId="2" borderId="1" xfId="0" applyFont="1" applyFill="1" applyBorder="1" applyAlignment="1">
      <alignment horizontal="center" vertical="center"/>
    </xf>
    <xf numFmtId="0" fontId="2" fillId="0" borderId="1" xfId="0" applyFont="1" applyBorder="1" applyAlignment="1">
      <alignment vertical="top"/>
    </xf>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DCE6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D9D9D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3"/>
  <sheetViews>
    <sheetView zoomScale="150" zoomScaleNormal="100" workbookViewId="0">
      <pane ySplit="1" topLeftCell="A2" activePane="bottomLeft" state="frozen"/>
      <selection pane="bottomLeft" activeCell="C17" sqref="C17"/>
    </sheetView>
  </sheetViews>
  <sheetFormatPr baseColWidth="10" defaultColWidth="8.6640625" defaultRowHeight="15" x14ac:dyDescent="0.2"/>
  <cols>
    <col min="1" max="2" width="6" customWidth="1"/>
    <col min="3" max="3" width="32" customWidth="1"/>
    <col min="4" max="4" width="22" customWidth="1"/>
    <col min="5" max="6" width="45" customWidth="1"/>
    <col min="7" max="7" width="20" customWidth="1"/>
  </cols>
  <sheetData>
    <row r="1" spans="1:7" x14ac:dyDescent="0.2">
      <c r="A1" t="s">
        <v>0</v>
      </c>
      <c r="B1" s="1" t="s">
        <v>1</v>
      </c>
      <c r="C1" s="1" t="s">
        <v>2</v>
      </c>
      <c r="D1" s="1" t="s">
        <v>3</v>
      </c>
      <c r="E1" s="1" t="s">
        <v>4</v>
      </c>
      <c r="F1" s="1" t="s">
        <v>5</v>
      </c>
      <c r="G1" s="1" t="s">
        <v>6</v>
      </c>
    </row>
    <row r="2" spans="1:7" ht="112" x14ac:dyDescent="0.2">
      <c r="A2" s="2">
        <v>1</v>
      </c>
      <c r="B2" s="2" t="s">
        <v>7</v>
      </c>
      <c r="C2" s="2" t="s">
        <v>8</v>
      </c>
      <c r="D2" s="2"/>
      <c r="E2" s="2" t="s">
        <v>9</v>
      </c>
      <c r="F2" s="2" t="s">
        <v>10</v>
      </c>
      <c r="G2" s="3" t="s">
        <v>11</v>
      </c>
    </row>
    <row r="3" spans="1:7" ht="56" x14ac:dyDescent="0.2">
      <c r="A3" s="2">
        <v>2</v>
      </c>
      <c r="B3" s="2" t="s">
        <v>7</v>
      </c>
      <c r="C3" s="2" t="s">
        <v>8</v>
      </c>
      <c r="D3" s="2" t="s">
        <v>12</v>
      </c>
      <c r="E3" s="2" t="s">
        <v>13</v>
      </c>
      <c r="F3" s="2" t="s">
        <v>14</v>
      </c>
      <c r="G3" s="3" t="s">
        <v>11</v>
      </c>
    </row>
    <row r="4" spans="1:7" ht="319" x14ac:dyDescent="0.2">
      <c r="A4" s="2">
        <v>3</v>
      </c>
      <c r="B4" s="2" t="s">
        <v>15</v>
      </c>
      <c r="C4" s="2" t="s">
        <v>16</v>
      </c>
      <c r="D4" s="2" t="s">
        <v>17</v>
      </c>
      <c r="E4" s="2" t="s">
        <v>18</v>
      </c>
      <c r="F4" s="2" t="s">
        <v>19</v>
      </c>
      <c r="G4" s="3" t="s">
        <v>11</v>
      </c>
    </row>
    <row r="5" spans="1:7" ht="84" x14ac:dyDescent="0.2">
      <c r="A5" s="2">
        <v>4</v>
      </c>
      <c r="B5" s="2" t="s">
        <v>15</v>
      </c>
      <c r="C5" s="2" t="s">
        <v>20</v>
      </c>
      <c r="D5" s="2" t="s">
        <v>21</v>
      </c>
      <c r="E5" s="2" t="s">
        <v>22</v>
      </c>
      <c r="F5" s="2" t="s">
        <v>23</v>
      </c>
      <c r="G5" s="3" t="s">
        <v>11</v>
      </c>
    </row>
    <row r="6" spans="1:7" ht="70" x14ac:dyDescent="0.2">
      <c r="A6" s="2">
        <v>5</v>
      </c>
      <c r="B6" s="2" t="s">
        <v>15</v>
      </c>
      <c r="C6" s="2" t="s">
        <v>20</v>
      </c>
      <c r="D6" s="2" t="s">
        <v>21</v>
      </c>
      <c r="E6" s="2" t="s">
        <v>24</v>
      </c>
      <c r="F6" s="2" t="s">
        <v>25</v>
      </c>
      <c r="G6" s="3" t="s">
        <v>11</v>
      </c>
    </row>
    <row r="7" spans="1:7" ht="84" x14ac:dyDescent="0.2">
      <c r="A7" s="2">
        <v>6</v>
      </c>
      <c r="B7" s="2" t="s">
        <v>15</v>
      </c>
      <c r="C7" s="2" t="s">
        <v>20</v>
      </c>
      <c r="D7" s="2" t="s">
        <v>21</v>
      </c>
      <c r="E7" s="2" t="s">
        <v>26</v>
      </c>
      <c r="F7" s="2" t="s">
        <v>25</v>
      </c>
      <c r="G7" s="3" t="s">
        <v>11</v>
      </c>
    </row>
    <row r="8" spans="1:7" ht="112" x14ac:dyDescent="0.2">
      <c r="A8" s="2">
        <v>7</v>
      </c>
      <c r="B8" s="2" t="s">
        <v>15</v>
      </c>
      <c r="C8" s="2" t="s">
        <v>27</v>
      </c>
      <c r="D8" s="2" t="s">
        <v>28</v>
      </c>
      <c r="E8" s="2" t="s">
        <v>29</v>
      </c>
      <c r="F8" s="2" t="s">
        <v>30</v>
      </c>
      <c r="G8" s="4" t="s">
        <v>31</v>
      </c>
    </row>
    <row r="9" spans="1:7" ht="182" x14ac:dyDescent="0.2">
      <c r="A9" s="2">
        <v>8</v>
      </c>
      <c r="B9" s="2" t="s">
        <v>32</v>
      </c>
      <c r="C9" s="2" t="s">
        <v>33</v>
      </c>
      <c r="D9" s="2" t="s">
        <v>17</v>
      </c>
      <c r="E9" s="2" t="s">
        <v>34</v>
      </c>
      <c r="F9" s="2" t="s">
        <v>35</v>
      </c>
      <c r="G9" s="4" t="s">
        <v>31</v>
      </c>
    </row>
    <row r="10" spans="1:7" ht="28" x14ac:dyDescent="0.2">
      <c r="A10" s="2">
        <v>9</v>
      </c>
      <c r="B10" s="2" t="s">
        <v>32</v>
      </c>
      <c r="C10" s="2" t="s">
        <v>33</v>
      </c>
      <c r="D10" s="2" t="s">
        <v>36</v>
      </c>
      <c r="E10" s="2" t="s">
        <v>37</v>
      </c>
      <c r="F10" s="2" t="s">
        <v>25</v>
      </c>
      <c r="G10" s="3" t="s">
        <v>11</v>
      </c>
    </row>
    <row r="11" spans="1:7" ht="154" x14ac:dyDescent="0.2">
      <c r="A11" s="2">
        <v>10</v>
      </c>
      <c r="B11" s="2" t="s">
        <v>32</v>
      </c>
      <c r="C11" s="2" t="s">
        <v>33</v>
      </c>
      <c r="D11" s="2" t="s">
        <v>38</v>
      </c>
      <c r="E11" s="2" t="s">
        <v>39</v>
      </c>
      <c r="F11" s="2" t="s">
        <v>40</v>
      </c>
      <c r="G11" s="3" t="s">
        <v>11</v>
      </c>
    </row>
    <row r="12" spans="1:7" ht="126" x14ac:dyDescent="0.2">
      <c r="A12" s="2">
        <v>11</v>
      </c>
      <c r="B12" s="2" t="s">
        <v>32</v>
      </c>
      <c r="C12" s="2" t="s">
        <v>33</v>
      </c>
      <c r="D12" s="2"/>
      <c r="E12" s="2"/>
      <c r="F12" s="2" t="s">
        <v>41</v>
      </c>
      <c r="G12" s="4" t="s">
        <v>31</v>
      </c>
    </row>
    <row r="13" spans="1:7" ht="196" x14ac:dyDescent="0.2">
      <c r="A13" s="2">
        <v>12</v>
      </c>
      <c r="B13" s="2" t="s">
        <v>32</v>
      </c>
      <c r="C13" s="11" t="s">
        <v>33</v>
      </c>
      <c r="D13" s="2" t="s">
        <v>12</v>
      </c>
      <c r="E13" s="2" t="s">
        <v>42</v>
      </c>
      <c r="F13" s="2" t="s">
        <v>43</v>
      </c>
      <c r="G13" s="3" t="s">
        <v>11</v>
      </c>
    </row>
    <row r="14" spans="1:7" ht="42" x14ac:dyDescent="0.2">
      <c r="A14" s="2">
        <v>13</v>
      </c>
      <c r="B14" s="2" t="s">
        <v>32</v>
      </c>
      <c r="C14" s="2" t="s">
        <v>33</v>
      </c>
      <c r="D14" s="2" t="s">
        <v>12</v>
      </c>
      <c r="E14" s="2" t="s">
        <v>44</v>
      </c>
      <c r="F14" s="2" t="s">
        <v>45</v>
      </c>
      <c r="G14" s="4" t="s">
        <v>31</v>
      </c>
    </row>
    <row r="15" spans="1:7" ht="42" x14ac:dyDescent="0.2">
      <c r="A15" s="2">
        <v>14</v>
      </c>
      <c r="B15" s="2" t="s">
        <v>32</v>
      </c>
      <c r="C15" s="2" t="s">
        <v>33</v>
      </c>
      <c r="D15" s="2" t="s">
        <v>12</v>
      </c>
      <c r="E15" s="2" t="s">
        <v>46</v>
      </c>
      <c r="F15" s="2" t="s">
        <v>47</v>
      </c>
      <c r="G15" s="3" t="s">
        <v>11</v>
      </c>
    </row>
    <row r="16" spans="1:7" ht="56" x14ac:dyDescent="0.2">
      <c r="A16" s="2">
        <v>15</v>
      </c>
      <c r="B16" s="2" t="s">
        <v>32</v>
      </c>
      <c r="C16" s="2" t="s">
        <v>33</v>
      </c>
      <c r="D16" s="2" t="s">
        <v>12</v>
      </c>
      <c r="E16" s="2" t="s">
        <v>48</v>
      </c>
      <c r="F16" s="2" t="s">
        <v>49</v>
      </c>
      <c r="G16" s="3" t="s">
        <v>11</v>
      </c>
    </row>
    <row r="17" spans="1:7" ht="70" x14ac:dyDescent="0.2">
      <c r="A17" s="2">
        <v>16</v>
      </c>
      <c r="B17" s="2" t="s">
        <v>32</v>
      </c>
      <c r="C17" s="2" t="s">
        <v>33</v>
      </c>
      <c r="D17" s="2" t="s">
        <v>21</v>
      </c>
      <c r="E17" s="2" t="s">
        <v>50</v>
      </c>
      <c r="F17" s="2" t="s">
        <v>51</v>
      </c>
      <c r="G17" s="3" t="s">
        <v>11</v>
      </c>
    </row>
    <row r="18" spans="1:7" ht="140" x14ac:dyDescent="0.2">
      <c r="A18" s="2">
        <v>17</v>
      </c>
      <c r="B18" s="2" t="s">
        <v>32</v>
      </c>
      <c r="C18" s="2" t="s">
        <v>33</v>
      </c>
      <c r="D18" s="2" t="s">
        <v>28</v>
      </c>
      <c r="E18" s="2" t="s">
        <v>52</v>
      </c>
      <c r="F18" s="2" t="s">
        <v>53</v>
      </c>
      <c r="G18" s="3" t="s">
        <v>11</v>
      </c>
    </row>
    <row r="19" spans="1:7" ht="70" x14ac:dyDescent="0.2">
      <c r="A19" s="2">
        <v>18</v>
      </c>
      <c r="B19" s="2" t="s">
        <v>32</v>
      </c>
      <c r="C19" s="2" t="s">
        <v>33</v>
      </c>
      <c r="D19" s="2" t="s">
        <v>28</v>
      </c>
      <c r="E19" s="2" t="s">
        <v>54</v>
      </c>
      <c r="F19" s="2" t="s">
        <v>55</v>
      </c>
      <c r="G19" s="3" t="s">
        <v>11</v>
      </c>
    </row>
    <row r="20" spans="1:7" ht="154" x14ac:dyDescent="0.2">
      <c r="A20" s="2">
        <v>19</v>
      </c>
      <c r="B20" s="2" t="s">
        <v>32</v>
      </c>
      <c r="C20" s="2" t="s">
        <v>33</v>
      </c>
      <c r="D20" s="2" t="s">
        <v>28</v>
      </c>
      <c r="E20" s="2" t="s">
        <v>56</v>
      </c>
      <c r="F20" s="2" t="s">
        <v>57</v>
      </c>
      <c r="G20" s="4" t="s">
        <v>31</v>
      </c>
    </row>
    <row r="21" spans="1:7" ht="112" x14ac:dyDescent="0.2">
      <c r="A21" s="2">
        <v>20</v>
      </c>
      <c r="B21" s="2" t="s">
        <v>32</v>
      </c>
      <c r="C21" s="2" t="s">
        <v>33</v>
      </c>
      <c r="D21" s="2" t="s">
        <v>28</v>
      </c>
      <c r="E21" s="2" t="s">
        <v>58</v>
      </c>
      <c r="F21" s="2" t="s">
        <v>59</v>
      </c>
      <c r="G21" s="3" t="s">
        <v>11</v>
      </c>
    </row>
    <row r="22" spans="1:7" ht="98" x14ac:dyDescent="0.2">
      <c r="A22" s="2">
        <v>21</v>
      </c>
      <c r="B22" s="2" t="s">
        <v>32</v>
      </c>
      <c r="C22" s="2" t="s">
        <v>33</v>
      </c>
      <c r="D22" s="2" t="s">
        <v>21</v>
      </c>
      <c r="E22" s="2" t="s">
        <v>60</v>
      </c>
      <c r="F22" s="2" t="s">
        <v>61</v>
      </c>
      <c r="G22" s="3" t="s">
        <v>11</v>
      </c>
    </row>
    <row r="23" spans="1:7" ht="56" x14ac:dyDescent="0.2">
      <c r="A23" s="2">
        <v>22</v>
      </c>
      <c r="B23" s="2" t="s">
        <v>32</v>
      </c>
      <c r="C23" s="2" t="s">
        <v>33</v>
      </c>
      <c r="D23" s="2" t="s">
        <v>12</v>
      </c>
      <c r="E23" s="2" t="s">
        <v>62</v>
      </c>
      <c r="F23" s="2" t="s">
        <v>63</v>
      </c>
      <c r="G23" s="3" t="s">
        <v>11</v>
      </c>
    </row>
    <row r="24" spans="1:7" ht="409.6" x14ac:dyDescent="0.2">
      <c r="A24" s="2">
        <v>23</v>
      </c>
      <c r="B24" s="2" t="s">
        <v>64</v>
      </c>
      <c r="C24" s="2" t="s">
        <v>33</v>
      </c>
      <c r="D24" s="2" t="s">
        <v>17</v>
      </c>
      <c r="E24" s="2" t="s">
        <v>65</v>
      </c>
      <c r="F24" s="2" t="s">
        <v>66</v>
      </c>
      <c r="G24" s="3" t="s">
        <v>11</v>
      </c>
    </row>
    <row r="25" spans="1:7" ht="28" x14ac:dyDescent="0.2">
      <c r="A25" s="2">
        <v>24</v>
      </c>
      <c r="B25" s="2" t="s">
        <v>64</v>
      </c>
      <c r="C25" s="2" t="s">
        <v>33</v>
      </c>
      <c r="D25" s="2" t="s">
        <v>17</v>
      </c>
      <c r="E25" s="2" t="s">
        <v>67</v>
      </c>
      <c r="F25" s="2" t="s">
        <v>68</v>
      </c>
      <c r="G25" s="3" t="s">
        <v>11</v>
      </c>
    </row>
    <row r="26" spans="1:7" ht="196" x14ac:dyDescent="0.2">
      <c r="A26" s="2">
        <v>25</v>
      </c>
      <c r="B26" s="2" t="s">
        <v>64</v>
      </c>
      <c r="C26" s="2" t="s">
        <v>69</v>
      </c>
      <c r="D26" s="2" t="s">
        <v>17</v>
      </c>
      <c r="E26" s="2" t="s">
        <v>70</v>
      </c>
      <c r="F26" s="2" t="s">
        <v>71</v>
      </c>
      <c r="G26" s="3" t="s">
        <v>11</v>
      </c>
    </row>
    <row r="27" spans="1:7" ht="42" x14ac:dyDescent="0.2">
      <c r="A27" s="2">
        <v>26</v>
      </c>
      <c r="B27" s="2" t="s">
        <v>64</v>
      </c>
      <c r="C27" s="2" t="s">
        <v>69</v>
      </c>
      <c r="D27" s="2" t="s">
        <v>17</v>
      </c>
      <c r="E27" s="2" t="s">
        <v>72</v>
      </c>
      <c r="F27" s="2" t="s">
        <v>73</v>
      </c>
      <c r="G27" s="3" t="s">
        <v>11</v>
      </c>
    </row>
    <row r="28" spans="1:7" ht="28" x14ac:dyDescent="0.2">
      <c r="A28" s="2">
        <v>27</v>
      </c>
      <c r="B28" s="2" t="s">
        <v>64</v>
      </c>
      <c r="C28" s="2" t="s">
        <v>69</v>
      </c>
      <c r="D28" s="2" t="s">
        <v>17</v>
      </c>
      <c r="E28" s="2" t="s">
        <v>67</v>
      </c>
      <c r="F28" s="2" t="s">
        <v>74</v>
      </c>
      <c r="G28" s="3" t="s">
        <v>11</v>
      </c>
    </row>
    <row r="29" spans="1:7" ht="28" x14ac:dyDescent="0.2">
      <c r="A29" s="2">
        <v>28</v>
      </c>
      <c r="B29" s="2" t="s">
        <v>64</v>
      </c>
      <c r="C29" s="2" t="s">
        <v>69</v>
      </c>
      <c r="D29" s="2"/>
      <c r="E29" s="2"/>
      <c r="F29" s="2" t="s">
        <v>75</v>
      </c>
      <c r="G29" s="4" t="s">
        <v>31</v>
      </c>
    </row>
    <row r="30" spans="1:7" ht="42" x14ac:dyDescent="0.2">
      <c r="A30" s="2">
        <v>29</v>
      </c>
      <c r="B30" s="2" t="s">
        <v>64</v>
      </c>
      <c r="C30" s="2" t="s">
        <v>69</v>
      </c>
      <c r="D30" s="2" t="s">
        <v>76</v>
      </c>
      <c r="E30" s="2" t="s">
        <v>77</v>
      </c>
      <c r="F30" s="2" t="s">
        <v>78</v>
      </c>
      <c r="G30" s="4" t="s">
        <v>31</v>
      </c>
    </row>
    <row r="31" spans="1:7" ht="98" x14ac:dyDescent="0.2">
      <c r="A31" s="2">
        <v>30</v>
      </c>
      <c r="B31" s="2" t="s">
        <v>64</v>
      </c>
      <c r="C31" s="2" t="s">
        <v>69</v>
      </c>
      <c r="D31" s="2" t="s">
        <v>76</v>
      </c>
      <c r="E31" s="2" t="s">
        <v>79</v>
      </c>
      <c r="F31" s="2" t="s">
        <v>78</v>
      </c>
      <c r="G31" s="4" t="s">
        <v>31</v>
      </c>
    </row>
    <row r="32" spans="1:7" ht="84" x14ac:dyDescent="0.2">
      <c r="A32" s="2">
        <v>31</v>
      </c>
      <c r="B32" s="2" t="s">
        <v>64</v>
      </c>
      <c r="C32" s="2" t="s">
        <v>33</v>
      </c>
      <c r="D32" s="2" t="s">
        <v>21</v>
      </c>
      <c r="E32" s="2" t="s">
        <v>80</v>
      </c>
      <c r="F32" s="2" t="s">
        <v>74</v>
      </c>
      <c r="G32" s="3" t="s">
        <v>11</v>
      </c>
    </row>
    <row r="33" spans="1:7" ht="56" x14ac:dyDescent="0.2">
      <c r="A33" s="2">
        <v>32</v>
      </c>
      <c r="B33" s="2" t="s">
        <v>64</v>
      </c>
      <c r="C33" s="2" t="s">
        <v>33</v>
      </c>
      <c r="D33" s="2" t="s">
        <v>21</v>
      </c>
      <c r="E33" s="2" t="s">
        <v>81</v>
      </c>
      <c r="F33" s="2" t="s">
        <v>82</v>
      </c>
      <c r="G33" s="3" t="s">
        <v>11</v>
      </c>
    </row>
    <row r="34" spans="1:7" ht="42" x14ac:dyDescent="0.2">
      <c r="A34" s="2">
        <v>33</v>
      </c>
      <c r="B34" s="2" t="s">
        <v>64</v>
      </c>
      <c r="C34" s="2" t="s">
        <v>69</v>
      </c>
      <c r="D34" s="2" t="s">
        <v>12</v>
      </c>
      <c r="E34" s="2" t="s">
        <v>83</v>
      </c>
      <c r="F34" s="2" t="s">
        <v>25</v>
      </c>
      <c r="G34" s="3" t="s">
        <v>11</v>
      </c>
    </row>
    <row r="35" spans="1:7" ht="42" x14ac:dyDescent="0.2">
      <c r="A35" s="2">
        <v>34</v>
      </c>
      <c r="B35" s="2" t="s">
        <v>64</v>
      </c>
      <c r="C35" s="2" t="s">
        <v>69</v>
      </c>
      <c r="D35" s="2" t="s">
        <v>12</v>
      </c>
      <c r="E35" s="2" t="s">
        <v>84</v>
      </c>
      <c r="F35" s="2" t="s">
        <v>85</v>
      </c>
      <c r="G35" s="3" t="s">
        <v>11</v>
      </c>
    </row>
    <row r="36" spans="1:7" ht="84" x14ac:dyDescent="0.2">
      <c r="A36" s="2">
        <v>35</v>
      </c>
      <c r="B36" s="2" t="s">
        <v>64</v>
      </c>
      <c r="C36" s="2" t="s">
        <v>69</v>
      </c>
      <c r="D36" s="2" t="s">
        <v>21</v>
      </c>
      <c r="E36" s="2" t="s">
        <v>86</v>
      </c>
      <c r="F36" s="2" t="s">
        <v>87</v>
      </c>
      <c r="G36" s="3" t="s">
        <v>11</v>
      </c>
    </row>
    <row r="37" spans="1:7" ht="126" x14ac:dyDescent="0.2">
      <c r="A37" s="2">
        <v>36</v>
      </c>
      <c r="B37" s="2" t="s">
        <v>64</v>
      </c>
      <c r="C37" s="2" t="s">
        <v>69</v>
      </c>
      <c r="D37" s="2" t="s">
        <v>28</v>
      </c>
      <c r="E37" s="2" t="s">
        <v>88</v>
      </c>
      <c r="F37" s="2" t="s">
        <v>89</v>
      </c>
      <c r="G37" s="4" t="s">
        <v>31</v>
      </c>
    </row>
    <row r="38" spans="1:7" ht="84" x14ac:dyDescent="0.2">
      <c r="A38" s="2">
        <v>37</v>
      </c>
      <c r="B38" s="2" t="s">
        <v>64</v>
      </c>
      <c r="C38" s="2" t="s">
        <v>69</v>
      </c>
      <c r="D38" s="2" t="s">
        <v>28</v>
      </c>
      <c r="E38" s="2" t="s">
        <v>90</v>
      </c>
      <c r="F38" s="2" t="s">
        <v>91</v>
      </c>
      <c r="G38" s="3" t="s">
        <v>11</v>
      </c>
    </row>
    <row r="39" spans="1:7" ht="70" x14ac:dyDescent="0.2">
      <c r="A39" s="2">
        <v>38</v>
      </c>
      <c r="B39" s="2" t="s">
        <v>64</v>
      </c>
      <c r="C39" s="2" t="s">
        <v>69</v>
      </c>
      <c r="D39" s="2" t="s">
        <v>28</v>
      </c>
      <c r="E39" s="2" t="s">
        <v>92</v>
      </c>
      <c r="F39" s="2" t="s">
        <v>93</v>
      </c>
      <c r="G39" s="4" t="s">
        <v>31</v>
      </c>
    </row>
    <row r="40" spans="1:7" ht="98" x14ac:dyDescent="0.2">
      <c r="A40" s="2">
        <v>39</v>
      </c>
      <c r="B40" s="2" t="s">
        <v>64</v>
      </c>
      <c r="C40" s="2" t="s">
        <v>69</v>
      </c>
      <c r="D40" s="2" t="s">
        <v>28</v>
      </c>
      <c r="E40" s="2" t="s">
        <v>94</v>
      </c>
      <c r="F40" s="2" t="s">
        <v>95</v>
      </c>
      <c r="G40" s="4" t="s">
        <v>31</v>
      </c>
    </row>
    <row r="41" spans="1:7" ht="84" x14ac:dyDescent="0.2">
      <c r="A41" s="2">
        <v>40</v>
      </c>
      <c r="B41" s="2" t="s">
        <v>64</v>
      </c>
      <c r="C41" s="2" t="s">
        <v>69</v>
      </c>
      <c r="D41" s="2" t="s">
        <v>28</v>
      </c>
      <c r="E41" s="2" t="s">
        <v>96</v>
      </c>
      <c r="F41" s="2" t="s">
        <v>97</v>
      </c>
      <c r="G41" s="3" t="s">
        <v>11</v>
      </c>
    </row>
    <row r="42" spans="1:7" ht="70" x14ac:dyDescent="0.2">
      <c r="A42" s="2">
        <v>41</v>
      </c>
      <c r="B42" s="2" t="s">
        <v>64</v>
      </c>
      <c r="C42" s="2" t="s">
        <v>69</v>
      </c>
      <c r="D42" s="2" t="s">
        <v>28</v>
      </c>
      <c r="E42" s="2" t="s">
        <v>98</v>
      </c>
      <c r="F42" s="2" t="s">
        <v>99</v>
      </c>
      <c r="G42" s="3" t="s">
        <v>11</v>
      </c>
    </row>
    <row r="43" spans="1:7" ht="70" x14ac:dyDescent="0.2">
      <c r="A43" s="2">
        <v>42</v>
      </c>
      <c r="B43" s="2" t="s">
        <v>64</v>
      </c>
      <c r="C43" s="2" t="s">
        <v>69</v>
      </c>
      <c r="D43" s="2" t="s">
        <v>28</v>
      </c>
      <c r="E43" s="2" t="s">
        <v>100</v>
      </c>
      <c r="F43" s="2" t="s">
        <v>101</v>
      </c>
      <c r="G43" s="3" t="s">
        <v>11</v>
      </c>
    </row>
    <row r="44" spans="1:7" ht="56" x14ac:dyDescent="0.2">
      <c r="A44" s="2">
        <v>43</v>
      </c>
      <c r="B44" s="2" t="s">
        <v>64</v>
      </c>
      <c r="C44" s="2" t="s">
        <v>69</v>
      </c>
      <c r="D44" s="2" t="s">
        <v>21</v>
      </c>
      <c r="E44" s="2" t="s">
        <v>102</v>
      </c>
      <c r="F44" s="2" t="s">
        <v>103</v>
      </c>
      <c r="G44" s="3" t="s">
        <v>11</v>
      </c>
    </row>
    <row r="45" spans="1:7" ht="42" x14ac:dyDescent="0.2">
      <c r="A45" s="2">
        <v>44</v>
      </c>
      <c r="B45" s="2" t="s">
        <v>64</v>
      </c>
      <c r="C45" s="2" t="s">
        <v>69</v>
      </c>
      <c r="D45" s="2" t="s">
        <v>12</v>
      </c>
      <c r="E45" s="2" t="s">
        <v>104</v>
      </c>
      <c r="F45" s="2" t="s">
        <v>105</v>
      </c>
      <c r="G45" s="3" t="s">
        <v>11</v>
      </c>
    </row>
    <row r="46" spans="1:7" ht="42" x14ac:dyDescent="0.2">
      <c r="A46" s="2">
        <v>45</v>
      </c>
      <c r="B46" s="2" t="s">
        <v>106</v>
      </c>
      <c r="C46" s="2" t="s">
        <v>69</v>
      </c>
      <c r="D46" s="2" t="s">
        <v>17</v>
      </c>
      <c r="E46" s="2" t="s">
        <v>107</v>
      </c>
      <c r="F46" s="2" t="s">
        <v>108</v>
      </c>
      <c r="G46" s="3" t="s">
        <v>11</v>
      </c>
    </row>
    <row r="47" spans="1:7" ht="28" x14ac:dyDescent="0.2">
      <c r="A47" s="2">
        <v>46</v>
      </c>
      <c r="B47" s="2" t="s">
        <v>106</v>
      </c>
      <c r="C47" s="2" t="s">
        <v>69</v>
      </c>
      <c r="D47" s="2" t="s">
        <v>17</v>
      </c>
      <c r="E47" s="2" t="s">
        <v>67</v>
      </c>
      <c r="F47" s="2" t="s">
        <v>109</v>
      </c>
      <c r="G47" s="3" t="s">
        <v>11</v>
      </c>
    </row>
    <row r="48" spans="1:7" ht="28" x14ac:dyDescent="0.2">
      <c r="A48" s="2">
        <v>47</v>
      </c>
      <c r="B48" s="2" t="s">
        <v>106</v>
      </c>
      <c r="C48" s="2" t="s">
        <v>110</v>
      </c>
      <c r="D48" s="2" t="s">
        <v>17</v>
      </c>
      <c r="E48" s="2" t="s">
        <v>111</v>
      </c>
      <c r="F48" s="2" t="s">
        <v>112</v>
      </c>
      <c r="G48" s="3" t="s">
        <v>11</v>
      </c>
    </row>
    <row r="49" spans="1:7" ht="28" x14ac:dyDescent="0.2">
      <c r="A49" s="2">
        <v>48</v>
      </c>
      <c r="B49" s="2" t="s">
        <v>106</v>
      </c>
      <c r="C49" s="2" t="s">
        <v>110</v>
      </c>
      <c r="D49" s="2" t="s">
        <v>17</v>
      </c>
      <c r="E49" s="2" t="s">
        <v>113</v>
      </c>
      <c r="F49" s="2" t="s">
        <v>114</v>
      </c>
      <c r="G49" s="3" t="s">
        <v>11</v>
      </c>
    </row>
    <row r="50" spans="1:7" ht="56" x14ac:dyDescent="0.2">
      <c r="A50" s="2">
        <v>49</v>
      </c>
      <c r="B50" s="2" t="s">
        <v>106</v>
      </c>
      <c r="C50" s="2" t="s">
        <v>110</v>
      </c>
      <c r="D50" s="2" t="s">
        <v>17</v>
      </c>
      <c r="E50" s="2" t="s">
        <v>115</v>
      </c>
      <c r="F50" s="2" t="s">
        <v>116</v>
      </c>
      <c r="G50" s="3" t="s">
        <v>11</v>
      </c>
    </row>
    <row r="51" spans="1:7" ht="42" x14ac:dyDescent="0.2">
      <c r="A51" s="2">
        <v>50</v>
      </c>
      <c r="B51" s="2" t="s">
        <v>106</v>
      </c>
      <c r="C51" s="2" t="s">
        <v>110</v>
      </c>
      <c r="D51" s="2"/>
      <c r="E51" s="2"/>
      <c r="F51" s="2" t="s">
        <v>117</v>
      </c>
      <c r="G51" s="4" t="s">
        <v>31</v>
      </c>
    </row>
    <row r="52" spans="1:7" ht="56" x14ac:dyDescent="0.2">
      <c r="A52" s="2">
        <v>51</v>
      </c>
      <c r="B52" s="2" t="s">
        <v>106</v>
      </c>
      <c r="C52" s="2" t="s">
        <v>110</v>
      </c>
      <c r="D52" s="2" t="s">
        <v>76</v>
      </c>
      <c r="E52" s="2" t="s">
        <v>118</v>
      </c>
      <c r="F52" s="2" t="s">
        <v>119</v>
      </c>
      <c r="G52" s="3" t="s">
        <v>11</v>
      </c>
    </row>
    <row r="53" spans="1:7" ht="98" x14ac:dyDescent="0.2">
      <c r="A53" s="2">
        <v>52</v>
      </c>
      <c r="B53" s="2" t="s">
        <v>106</v>
      </c>
      <c r="C53" s="2" t="s">
        <v>110</v>
      </c>
      <c r="D53" s="2" t="s">
        <v>76</v>
      </c>
      <c r="E53" s="2" t="s">
        <v>120</v>
      </c>
      <c r="F53" s="2" t="s">
        <v>114</v>
      </c>
      <c r="G53" s="3" t="s">
        <v>11</v>
      </c>
    </row>
    <row r="54" spans="1:7" ht="42" x14ac:dyDescent="0.2">
      <c r="A54" s="2">
        <v>53</v>
      </c>
      <c r="B54" s="2" t="s">
        <v>106</v>
      </c>
      <c r="C54" s="2" t="s">
        <v>110</v>
      </c>
      <c r="D54" s="2" t="s">
        <v>12</v>
      </c>
      <c r="E54" s="2" t="s">
        <v>121</v>
      </c>
      <c r="F54" s="2" t="s">
        <v>122</v>
      </c>
      <c r="G54" s="4" t="s">
        <v>31</v>
      </c>
    </row>
    <row r="55" spans="1:7" ht="56" x14ac:dyDescent="0.2">
      <c r="A55" s="2">
        <v>54</v>
      </c>
      <c r="B55" s="2" t="s">
        <v>106</v>
      </c>
      <c r="C55" s="2" t="s">
        <v>110</v>
      </c>
      <c r="D55" s="2" t="s">
        <v>21</v>
      </c>
      <c r="E55" s="2" t="s">
        <v>123</v>
      </c>
      <c r="F55" s="2" t="s">
        <v>124</v>
      </c>
      <c r="G55" s="3" t="s">
        <v>11</v>
      </c>
    </row>
    <row r="56" spans="1:7" ht="112" x14ac:dyDescent="0.2">
      <c r="A56" s="2">
        <v>55</v>
      </c>
      <c r="B56" s="2" t="s">
        <v>106</v>
      </c>
      <c r="C56" s="2" t="s">
        <v>110</v>
      </c>
      <c r="D56" s="2" t="s">
        <v>28</v>
      </c>
      <c r="E56" s="2" t="s">
        <v>125</v>
      </c>
      <c r="F56" s="2" t="s">
        <v>126</v>
      </c>
      <c r="G56" s="3" t="s">
        <v>11</v>
      </c>
    </row>
    <row r="57" spans="1:7" ht="84" x14ac:dyDescent="0.2">
      <c r="A57" s="2">
        <v>56</v>
      </c>
      <c r="B57" s="2" t="s">
        <v>106</v>
      </c>
      <c r="C57" s="2" t="s">
        <v>110</v>
      </c>
      <c r="D57" s="2" t="s">
        <v>28</v>
      </c>
      <c r="E57" s="2" t="s">
        <v>127</v>
      </c>
      <c r="F57" s="2" t="s">
        <v>128</v>
      </c>
      <c r="G57" s="4" t="s">
        <v>31</v>
      </c>
    </row>
    <row r="58" spans="1:7" ht="70" x14ac:dyDescent="0.2">
      <c r="A58" s="2">
        <v>57</v>
      </c>
      <c r="B58" s="2" t="s">
        <v>106</v>
      </c>
      <c r="C58" s="2" t="s">
        <v>110</v>
      </c>
      <c r="D58" s="2" t="s">
        <v>28</v>
      </c>
      <c r="E58" s="2" t="s">
        <v>129</v>
      </c>
      <c r="F58" s="2" t="s">
        <v>130</v>
      </c>
      <c r="G58" s="3" t="s">
        <v>11</v>
      </c>
    </row>
    <row r="59" spans="1:7" ht="70" x14ac:dyDescent="0.2">
      <c r="A59" s="2">
        <v>58</v>
      </c>
      <c r="B59" s="2" t="s">
        <v>106</v>
      </c>
      <c r="C59" s="2" t="s">
        <v>110</v>
      </c>
      <c r="D59" s="2" t="s">
        <v>28</v>
      </c>
      <c r="E59" s="2" t="s">
        <v>131</v>
      </c>
      <c r="F59" s="2" t="s">
        <v>132</v>
      </c>
      <c r="G59" s="3" t="s">
        <v>11</v>
      </c>
    </row>
    <row r="60" spans="1:7" ht="70" x14ac:dyDescent="0.2">
      <c r="A60" s="2">
        <v>59</v>
      </c>
      <c r="B60" s="2" t="s">
        <v>106</v>
      </c>
      <c r="C60" s="2" t="s">
        <v>110</v>
      </c>
      <c r="D60" s="2" t="s">
        <v>28</v>
      </c>
      <c r="E60" s="2" t="s">
        <v>133</v>
      </c>
      <c r="F60" s="2" t="s">
        <v>134</v>
      </c>
      <c r="G60" s="3" t="s">
        <v>11</v>
      </c>
    </row>
    <row r="61" spans="1:7" ht="84" x14ac:dyDescent="0.2">
      <c r="A61" s="2">
        <v>60</v>
      </c>
      <c r="B61" s="2" t="s">
        <v>106</v>
      </c>
      <c r="C61" s="2" t="s">
        <v>110</v>
      </c>
      <c r="D61" s="2" t="s">
        <v>21</v>
      </c>
      <c r="E61" s="2" t="s">
        <v>135</v>
      </c>
      <c r="F61" s="2" t="s">
        <v>136</v>
      </c>
      <c r="G61" s="3" t="s">
        <v>11</v>
      </c>
    </row>
    <row r="62" spans="1:7" ht="28" x14ac:dyDescent="0.2">
      <c r="A62" s="2">
        <v>61</v>
      </c>
      <c r="B62" s="2" t="s">
        <v>137</v>
      </c>
      <c r="C62" s="2" t="s">
        <v>110</v>
      </c>
      <c r="D62" s="2" t="s">
        <v>17</v>
      </c>
      <c r="E62" s="2" t="s">
        <v>138</v>
      </c>
      <c r="F62" s="2" t="s">
        <v>139</v>
      </c>
      <c r="G62" s="5" t="s">
        <v>140</v>
      </c>
    </row>
    <row r="63" spans="1:7" ht="42" x14ac:dyDescent="0.2">
      <c r="A63" s="2">
        <v>62</v>
      </c>
      <c r="B63" s="2" t="s">
        <v>137</v>
      </c>
      <c r="C63" s="2" t="s">
        <v>141</v>
      </c>
      <c r="D63" s="2" t="s">
        <v>17</v>
      </c>
      <c r="E63" s="2" t="s">
        <v>142</v>
      </c>
      <c r="F63" s="2" t="s">
        <v>143</v>
      </c>
      <c r="G63" s="3" t="s">
        <v>11</v>
      </c>
    </row>
    <row r="64" spans="1:7" ht="28" x14ac:dyDescent="0.2">
      <c r="A64" s="2">
        <v>63</v>
      </c>
      <c r="B64" s="2" t="s">
        <v>137</v>
      </c>
      <c r="C64" s="2" t="s">
        <v>141</v>
      </c>
      <c r="D64" s="2" t="s">
        <v>17</v>
      </c>
      <c r="E64" s="2" t="s">
        <v>144</v>
      </c>
      <c r="F64" s="2" t="s">
        <v>145</v>
      </c>
      <c r="G64" s="4" t="s">
        <v>31</v>
      </c>
    </row>
    <row r="65" spans="1:7" ht="42" x14ac:dyDescent="0.2">
      <c r="A65" s="2">
        <v>64</v>
      </c>
      <c r="B65" s="2" t="s">
        <v>137</v>
      </c>
      <c r="C65" s="2" t="s">
        <v>141</v>
      </c>
      <c r="D65" s="2" t="s">
        <v>12</v>
      </c>
      <c r="E65" s="2" t="s">
        <v>146</v>
      </c>
      <c r="F65" s="2" t="s">
        <v>114</v>
      </c>
      <c r="G65" s="3" t="s">
        <v>11</v>
      </c>
    </row>
    <row r="66" spans="1:7" ht="126" x14ac:dyDescent="0.2">
      <c r="A66" s="2">
        <v>65</v>
      </c>
      <c r="B66" s="2" t="s">
        <v>137</v>
      </c>
      <c r="C66" s="2" t="s">
        <v>141</v>
      </c>
      <c r="D66" s="2" t="s">
        <v>28</v>
      </c>
      <c r="E66" s="2" t="s">
        <v>147</v>
      </c>
      <c r="F66" s="2" t="s">
        <v>148</v>
      </c>
      <c r="G66" s="4" t="s">
        <v>31</v>
      </c>
    </row>
    <row r="67" spans="1:7" ht="42" x14ac:dyDescent="0.2">
      <c r="A67" s="2">
        <v>66</v>
      </c>
      <c r="B67" s="2" t="s">
        <v>137</v>
      </c>
      <c r="C67" s="2" t="s">
        <v>141</v>
      </c>
      <c r="D67" s="2" t="s">
        <v>12</v>
      </c>
      <c r="E67" s="2" t="s">
        <v>149</v>
      </c>
      <c r="F67" s="2" t="s">
        <v>150</v>
      </c>
      <c r="G67" s="4" t="s">
        <v>31</v>
      </c>
    </row>
    <row r="68" spans="1:7" ht="112" x14ac:dyDescent="0.2">
      <c r="A68" s="2">
        <v>67</v>
      </c>
      <c r="B68" s="2" t="s">
        <v>137</v>
      </c>
      <c r="C68" s="2" t="s">
        <v>151</v>
      </c>
      <c r="D68" s="2" t="s">
        <v>28</v>
      </c>
      <c r="E68" s="2" t="s">
        <v>152</v>
      </c>
      <c r="F68" s="2" t="s">
        <v>153</v>
      </c>
      <c r="G68" s="3" t="s">
        <v>11</v>
      </c>
    </row>
    <row r="69" spans="1:7" ht="56" x14ac:dyDescent="0.2">
      <c r="A69" s="2">
        <v>68</v>
      </c>
      <c r="B69" s="2" t="s">
        <v>137</v>
      </c>
      <c r="C69" s="2" t="s">
        <v>151</v>
      </c>
      <c r="D69" s="2" t="s">
        <v>21</v>
      </c>
      <c r="E69" s="2" t="s">
        <v>154</v>
      </c>
      <c r="F69" s="2" t="s">
        <v>155</v>
      </c>
      <c r="G69" s="3" t="s">
        <v>11</v>
      </c>
    </row>
    <row r="70" spans="1:7" ht="28" x14ac:dyDescent="0.2">
      <c r="A70" s="2">
        <v>69</v>
      </c>
      <c r="B70" s="2" t="s">
        <v>156</v>
      </c>
      <c r="C70" s="2" t="s">
        <v>157</v>
      </c>
      <c r="D70" s="2"/>
      <c r="E70" s="2"/>
      <c r="F70" s="2" t="s">
        <v>158</v>
      </c>
      <c r="G70" s="3" t="s">
        <v>11</v>
      </c>
    </row>
    <row r="71" spans="1:7" ht="112" x14ac:dyDescent="0.2">
      <c r="A71" s="2">
        <v>70</v>
      </c>
      <c r="B71" s="2" t="s">
        <v>156</v>
      </c>
      <c r="C71" s="2" t="s">
        <v>157</v>
      </c>
      <c r="D71" s="2" t="s">
        <v>76</v>
      </c>
      <c r="E71" s="2" t="s">
        <v>159</v>
      </c>
      <c r="F71" s="2" t="s">
        <v>160</v>
      </c>
      <c r="G71" s="3" t="s">
        <v>11</v>
      </c>
    </row>
    <row r="72" spans="1:7" ht="70" x14ac:dyDescent="0.2">
      <c r="A72" s="2">
        <v>71</v>
      </c>
      <c r="B72" s="2" t="s">
        <v>156</v>
      </c>
      <c r="C72" s="2" t="s">
        <v>151</v>
      </c>
      <c r="D72" s="2" t="s">
        <v>21</v>
      </c>
      <c r="E72" s="2" t="s">
        <v>161</v>
      </c>
      <c r="F72" s="2" t="s">
        <v>114</v>
      </c>
      <c r="G72" s="3" t="s">
        <v>11</v>
      </c>
    </row>
    <row r="73" spans="1:7" ht="42" x14ac:dyDescent="0.2">
      <c r="A73" s="2">
        <v>72</v>
      </c>
      <c r="B73" s="2" t="s">
        <v>156</v>
      </c>
      <c r="C73" s="2" t="s">
        <v>157</v>
      </c>
      <c r="D73" s="2" t="s">
        <v>12</v>
      </c>
      <c r="E73" s="2" t="s">
        <v>162</v>
      </c>
      <c r="F73" s="2" t="s">
        <v>163</v>
      </c>
      <c r="G73" s="3" t="s">
        <v>11</v>
      </c>
    </row>
    <row r="74" spans="1:7" ht="42" x14ac:dyDescent="0.2">
      <c r="A74" s="2">
        <v>73</v>
      </c>
      <c r="B74" s="2" t="s">
        <v>156</v>
      </c>
      <c r="C74" s="2" t="s">
        <v>157</v>
      </c>
      <c r="D74" s="2" t="s">
        <v>12</v>
      </c>
      <c r="E74" s="2" t="s">
        <v>164</v>
      </c>
      <c r="F74" s="2" t="s">
        <v>163</v>
      </c>
      <c r="G74" s="3" t="s">
        <v>11</v>
      </c>
    </row>
    <row r="75" spans="1:7" ht="56" x14ac:dyDescent="0.2">
      <c r="A75" s="2">
        <v>74</v>
      </c>
      <c r="B75" s="2" t="s">
        <v>156</v>
      </c>
      <c r="C75" s="2" t="s">
        <v>157</v>
      </c>
      <c r="D75" s="2" t="s">
        <v>12</v>
      </c>
      <c r="E75" s="2" t="s">
        <v>165</v>
      </c>
      <c r="F75" s="2" t="s">
        <v>166</v>
      </c>
      <c r="G75" s="4" t="s">
        <v>31</v>
      </c>
    </row>
    <row r="76" spans="1:7" ht="42" x14ac:dyDescent="0.2">
      <c r="A76" s="2">
        <v>75</v>
      </c>
      <c r="B76" s="2" t="s">
        <v>156</v>
      </c>
      <c r="C76" s="2" t="s">
        <v>157</v>
      </c>
      <c r="D76" s="2" t="s">
        <v>12</v>
      </c>
      <c r="E76" s="2" t="s">
        <v>167</v>
      </c>
      <c r="F76" s="2" t="s">
        <v>166</v>
      </c>
      <c r="G76" s="4" t="s">
        <v>31</v>
      </c>
    </row>
    <row r="77" spans="1:7" ht="42" x14ac:dyDescent="0.2">
      <c r="A77" s="2">
        <v>76</v>
      </c>
      <c r="B77" s="2" t="s">
        <v>156</v>
      </c>
      <c r="C77" s="2" t="s">
        <v>157</v>
      </c>
      <c r="D77" s="2" t="s">
        <v>12</v>
      </c>
      <c r="E77" s="2" t="s">
        <v>168</v>
      </c>
      <c r="F77" s="2" t="s">
        <v>166</v>
      </c>
      <c r="G77" s="4" t="s">
        <v>31</v>
      </c>
    </row>
    <row r="78" spans="1:7" ht="42" x14ac:dyDescent="0.2">
      <c r="A78" s="2">
        <v>77</v>
      </c>
      <c r="B78" s="2" t="s">
        <v>156</v>
      </c>
      <c r="C78" s="2" t="s">
        <v>157</v>
      </c>
      <c r="D78" s="2" t="s">
        <v>12</v>
      </c>
      <c r="E78" s="2" t="s">
        <v>169</v>
      </c>
      <c r="F78" s="2" t="s">
        <v>166</v>
      </c>
      <c r="G78" s="4" t="s">
        <v>31</v>
      </c>
    </row>
    <row r="79" spans="1:7" ht="42" x14ac:dyDescent="0.2">
      <c r="A79" s="2">
        <v>78</v>
      </c>
      <c r="B79" s="2" t="s">
        <v>156</v>
      </c>
      <c r="C79" s="2" t="s">
        <v>157</v>
      </c>
      <c r="D79" s="2" t="s">
        <v>12</v>
      </c>
      <c r="E79" s="2" t="s">
        <v>170</v>
      </c>
      <c r="F79" s="2" t="s">
        <v>166</v>
      </c>
      <c r="G79" s="4" t="s">
        <v>31</v>
      </c>
    </row>
    <row r="80" spans="1:7" ht="42" x14ac:dyDescent="0.2">
      <c r="A80" s="2">
        <v>79</v>
      </c>
      <c r="B80" s="2" t="s">
        <v>156</v>
      </c>
      <c r="C80" s="2" t="s">
        <v>157</v>
      </c>
      <c r="D80" s="2" t="s">
        <v>12</v>
      </c>
      <c r="E80" s="2" t="s">
        <v>171</v>
      </c>
      <c r="F80" s="2" t="s">
        <v>166</v>
      </c>
      <c r="G80" s="4" t="s">
        <v>31</v>
      </c>
    </row>
    <row r="81" spans="1:7" ht="42" x14ac:dyDescent="0.2">
      <c r="A81" s="2">
        <v>80</v>
      </c>
      <c r="B81" s="2" t="s">
        <v>156</v>
      </c>
      <c r="C81" s="2" t="s">
        <v>157</v>
      </c>
      <c r="D81" s="2" t="s">
        <v>12</v>
      </c>
      <c r="E81" s="2" t="s">
        <v>172</v>
      </c>
      <c r="F81" s="2" t="s">
        <v>166</v>
      </c>
      <c r="G81" s="4" t="s">
        <v>31</v>
      </c>
    </row>
    <row r="82" spans="1:7" ht="154" x14ac:dyDescent="0.2">
      <c r="A82" s="2">
        <v>81</v>
      </c>
      <c r="B82" s="2" t="s">
        <v>156</v>
      </c>
      <c r="C82" s="2" t="s">
        <v>157</v>
      </c>
      <c r="D82" s="2" t="s">
        <v>28</v>
      </c>
      <c r="E82" s="2" t="s">
        <v>173</v>
      </c>
      <c r="F82" s="2" t="s">
        <v>174</v>
      </c>
      <c r="G82" s="3" t="s">
        <v>11</v>
      </c>
    </row>
    <row r="83" spans="1:7" ht="98" x14ac:dyDescent="0.2">
      <c r="A83" s="2">
        <v>82</v>
      </c>
      <c r="B83" s="2" t="s">
        <v>156</v>
      </c>
      <c r="C83" s="2" t="s">
        <v>157</v>
      </c>
      <c r="D83" s="2" t="s">
        <v>21</v>
      </c>
      <c r="E83" s="2" t="s">
        <v>175</v>
      </c>
      <c r="F83" s="2" t="s">
        <v>176</v>
      </c>
      <c r="G83" s="3" t="s">
        <v>11</v>
      </c>
    </row>
    <row r="84" spans="1:7" ht="70" x14ac:dyDescent="0.2">
      <c r="A84" s="2">
        <v>83</v>
      </c>
      <c r="B84" s="2" t="s">
        <v>156</v>
      </c>
      <c r="C84" s="2" t="s">
        <v>157</v>
      </c>
      <c r="D84" s="2" t="s">
        <v>21</v>
      </c>
      <c r="E84" s="2" t="s">
        <v>177</v>
      </c>
      <c r="F84" s="2" t="s">
        <v>178</v>
      </c>
      <c r="G84" s="3" t="s">
        <v>11</v>
      </c>
    </row>
    <row r="85" spans="1:7" ht="70" x14ac:dyDescent="0.2">
      <c r="A85" s="2">
        <v>84</v>
      </c>
      <c r="B85" s="2" t="s">
        <v>156</v>
      </c>
      <c r="C85" s="2" t="s">
        <v>157</v>
      </c>
      <c r="D85" s="2" t="s">
        <v>12</v>
      </c>
      <c r="E85" s="2" t="s">
        <v>179</v>
      </c>
      <c r="F85" s="2" t="s">
        <v>180</v>
      </c>
      <c r="G85" s="3" t="s">
        <v>11</v>
      </c>
    </row>
    <row r="86" spans="1:7" ht="168" x14ac:dyDescent="0.2">
      <c r="A86" s="2">
        <v>85</v>
      </c>
      <c r="B86" s="2" t="s">
        <v>181</v>
      </c>
      <c r="C86" s="2" t="s">
        <v>157</v>
      </c>
      <c r="D86" s="2" t="s">
        <v>17</v>
      </c>
      <c r="E86" s="2" t="s">
        <v>182</v>
      </c>
      <c r="F86" s="2" t="s">
        <v>139</v>
      </c>
      <c r="G86" s="5" t="s">
        <v>140</v>
      </c>
    </row>
    <row r="87" spans="1:7" ht="56" x14ac:dyDescent="0.2">
      <c r="A87" s="2">
        <v>86</v>
      </c>
      <c r="B87" s="2" t="s">
        <v>181</v>
      </c>
      <c r="C87" s="2" t="s">
        <v>157</v>
      </c>
      <c r="D87" s="2" t="s">
        <v>183</v>
      </c>
      <c r="E87" s="2" t="s">
        <v>184</v>
      </c>
      <c r="F87" s="2" t="s">
        <v>185</v>
      </c>
      <c r="G87" s="3" t="s">
        <v>11</v>
      </c>
    </row>
    <row r="88" spans="1:7" ht="126" x14ac:dyDescent="0.2">
      <c r="A88" s="2">
        <v>87</v>
      </c>
      <c r="B88" s="2" t="s">
        <v>181</v>
      </c>
      <c r="C88" s="2" t="s">
        <v>186</v>
      </c>
      <c r="D88" s="2" t="s">
        <v>12</v>
      </c>
      <c r="E88" s="2" t="s">
        <v>187</v>
      </c>
      <c r="F88" s="2" t="s">
        <v>188</v>
      </c>
      <c r="G88" s="3" t="s">
        <v>11</v>
      </c>
    </row>
    <row r="89" spans="1:7" ht="210" x14ac:dyDescent="0.2">
      <c r="A89" s="2">
        <v>88</v>
      </c>
      <c r="B89" s="2" t="s">
        <v>181</v>
      </c>
      <c r="C89" s="2" t="s">
        <v>157</v>
      </c>
      <c r="D89" s="2" t="s">
        <v>28</v>
      </c>
      <c r="E89" s="2" t="s">
        <v>189</v>
      </c>
      <c r="F89" s="2" t="s">
        <v>190</v>
      </c>
      <c r="G89" s="3" t="s">
        <v>11</v>
      </c>
    </row>
    <row r="90" spans="1:7" ht="84" x14ac:dyDescent="0.2">
      <c r="A90" s="2">
        <v>89</v>
      </c>
      <c r="B90" s="2" t="s">
        <v>181</v>
      </c>
      <c r="C90" s="2" t="s">
        <v>157</v>
      </c>
      <c r="D90" s="2" t="s">
        <v>21</v>
      </c>
      <c r="E90" s="2" t="s">
        <v>191</v>
      </c>
      <c r="F90" s="2" t="s">
        <v>192</v>
      </c>
      <c r="G90" s="3" t="s">
        <v>11</v>
      </c>
    </row>
    <row r="91" spans="1:7" ht="140" x14ac:dyDescent="0.2">
      <c r="A91" s="2">
        <v>90</v>
      </c>
      <c r="B91" s="2" t="s">
        <v>181</v>
      </c>
      <c r="C91" s="2" t="s">
        <v>157</v>
      </c>
      <c r="D91" s="2" t="s">
        <v>28</v>
      </c>
      <c r="E91" s="2" t="s">
        <v>193</v>
      </c>
      <c r="F91" s="2" t="s">
        <v>194</v>
      </c>
      <c r="G91" s="3" t="s">
        <v>11</v>
      </c>
    </row>
    <row r="92" spans="1:7" ht="56" x14ac:dyDescent="0.2">
      <c r="A92" s="2">
        <v>91</v>
      </c>
      <c r="B92" s="2" t="s">
        <v>181</v>
      </c>
      <c r="C92" s="2" t="s">
        <v>157</v>
      </c>
      <c r="D92" s="2" t="s">
        <v>12</v>
      </c>
      <c r="E92" s="2" t="s">
        <v>195</v>
      </c>
      <c r="F92" s="2" t="s">
        <v>196</v>
      </c>
      <c r="G92" s="3" t="s">
        <v>11</v>
      </c>
    </row>
    <row r="93" spans="1:7" ht="56" x14ac:dyDescent="0.2">
      <c r="A93" s="2">
        <v>92</v>
      </c>
      <c r="B93" s="2" t="s">
        <v>181</v>
      </c>
      <c r="C93" s="2" t="s">
        <v>186</v>
      </c>
      <c r="D93" s="2" t="s">
        <v>12</v>
      </c>
      <c r="E93" s="2" t="s">
        <v>197</v>
      </c>
      <c r="F93" s="2" t="s">
        <v>198</v>
      </c>
      <c r="G93" s="3" t="s">
        <v>11</v>
      </c>
    </row>
    <row r="94" spans="1:7" ht="154" x14ac:dyDescent="0.2">
      <c r="A94" s="2">
        <v>93</v>
      </c>
      <c r="B94" s="2" t="s">
        <v>181</v>
      </c>
      <c r="C94" s="2" t="s">
        <v>186</v>
      </c>
      <c r="D94" s="2" t="s">
        <v>28</v>
      </c>
      <c r="E94" s="2" t="s">
        <v>199</v>
      </c>
      <c r="F94" s="2" t="s">
        <v>200</v>
      </c>
      <c r="G94" s="3" t="s">
        <v>11</v>
      </c>
    </row>
    <row r="95" spans="1:7" ht="126" x14ac:dyDescent="0.2">
      <c r="A95" s="2">
        <v>94</v>
      </c>
      <c r="B95" s="2" t="s">
        <v>181</v>
      </c>
      <c r="C95" s="2" t="s">
        <v>186</v>
      </c>
      <c r="D95" s="2" t="s">
        <v>21</v>
      </c>
      <c r="E95" s="2" t="s">
        <v>201</v>
      </c>
      <c r="F95" s="2" t="s">
        <v>188</v>
      </c>
      <c r="G95" s="3" t="s">
        <v>11</v>
      </c>
    </row>
    <row r="96" spans="1:7" ht="409.6" x14ac:dyDescent="0.2">
      <c r="A96" s="2">
        <v>95</v>
      </c>
      <c r="B96" s="2" t="s">
        <v>202</v>
      </c>
      <c r="C96" s="2" t="s">
        <v>203</v>
      </c>
      <c r="D96" s="2"/>
      <c r="E96" s="2"/>
      <c r="F96" s="2" t="s">
        <v>204</v>
      </c>
      <c r="G96" s="3" t="s">
        <v>11</v>
      </c>
    </row>
    <row r="97" spans="1:7" ht="70" x14ac:dyDescent="0.2">
      <c r="A97" s="2">
        <v>96</v>
      </c>
      <c r="B97" s="2" t="s">
        <v>202</v>
      </c>
      <c r="C97" s="2" t="s">
        <v>203</v>
      </c>
      <c r="D97" s="2" t="s">
        <v>76</v>
      </c>
      <c r="E97" s="2" t="s">
        <v>205</v>
      </c>
      <c r="F97" s="2" t="s">
        <v>206</v>
      </c>
      <c r="G97" s="6" t="s">
        <v>207</v>
      </c>
    </row>
    <row r="98" spans="1:7" ht="84" x14ac:dyDescent="0.2">
      <c r="A98" s="2">
        <v>97</v>
      </c>
      <c r="B98" s="2" t="s">
        <v>202</v>
      </c>
      <c r="C98" s="2" t="s">
        <v>203</v>
      </c>
      <c r="D98" s="2" t="s">
        <v>21</v>
      </c>
      <c r="E98" s="2" t="s">
        <v>208</v>
      </c>
      <c r="F98" s="2" t="s">
        <v>209</v>
      </c>
      <c r="G98" s="3" t="s">
        <v>11</v>
      </c>
    </row>
    <row r="99" spans="1:7" ht="84" x14ac:dyDescent="0.2">
      <c r="A99" s="2">
        <v>98</v>
      </c>
      <c r="B99" s="2" t="s">
        <v>202</v>
      </c>
      <c r="C99" s="2" t="s">
        <v>203</v>
      </c>
      <c r="D99" s="2" t="s">
        <v>21</v>
      </c>
      <c r="E99" s="2" t="s">
        <v>210</v>
      </c>
      <c r="F99" s="2" t="s">
        <v>211</v>
      </c>
      <c r="G99" s="3" t="s">
        <v>11</v>
      </c>
    </row>
    <row r="100" spans="1:7" ht="98" x14ac:dyDescent="0.2">
      <c r="A100" s="2">
        <v>99</v>
      </c>
      <c r="B100" s="2" t="s">
        <v>202</v>
      </c>
      <c r="C100" s="2" t="s">
        <v>203</v>
      </c>
      <c r="D100" s="2" t="s">
        <v>28</v>
      </c>
      <c r="E100" s="2" t="s">
        <v>212</v>
      </c>
      <c r="F100" s="2" t="s">
        <v>213</v>
      </c>
      <c r="G100" s="3" t="s">
        <v>11</v>
      </c>
    </row>
    <row r="101" spans="1:7" ht="112" x14ac:dyDescent="0.2">
      <c r="A101" s="2">
        <v>100</v>
      </c>
      <c r="B101" s="2" t="s">
        <v>214</v>
      </c>
      <c r="C101" s="2" t="s">
        <v>215</v>
      </c>
      <c r="D101" s="2"/>
      <c r="E101" s="2"/>
      <c r="F101" s="2" t="s">
        <v>216</v>
      </c>
      <c r="G101" s="3" t="s">
        <v>11</v>
      </c>
    </row>
    <row r="102" spans="1:7" ht="84" x14ac:dyDescent="0.2">
      <c r="A102" s="2">
        <v>101</v>
      </c>
      <c r="B102" s="2" t="s">
        <v>214</v>
      </c>
      <c r="C102" s="2" t="s">
        <v>215</v>
      </c>
      <c r="D102" s="2" t="s">
        <v>12</v>
      </c>
      <c r="E102" s="2"/>
      <c r="F102" s="2" t="s">
        <v>217</v>
      </c>
      <c r="G102" s="3" t="s">
        <v>11</v>
      </c>
    </row>
    <row r="103" spans="1:7" ht="42" x14ac:dyDescent="0.2">
      <c r="A103" s="2">
        <v>102</v>
      </c>
      <c r="B103" s="2" t="s">
        <v>214</v>
      </c>
      <c r="C103" s="2" t="s">
        <v>215</v>
      </c>
      <c r="D103" s="2" t="s">
        <v>12</v>
      </c>
      <c r="E103" s="2" t="s">
        <v>218</v>
      </c>
      <c r="F103" s="2" t="s">
        <v>219</v>
      </c>
      <c r="G103" s="3" t="s">
        <v>11</v>
      </c>
    </row>
    <row r="104" spans="1:7" ht="42" x14ac:dyDescent="0.2">
      <c r="A104" s="2">
        <v>103</v>
      </c>
      <c r="B104" s="2" t="s">
        <v>214</v>
      </c>
      <c r="C104" s="2" t="s">
        <v>215</v>
      </c>
      <c r="D104" s="2" t="s">
        <v>12</v>
      </c>
      <c r="E104" s="2" t="s">
        <v>220</v>
      </c>
      <c r="F104" s="2" t="s">
        <v>221</v>
      </c>
      <c r="G104" s="3" t="s">
        <v>11</v>
      </c>
    </row>
    <row r="105" spans="1:7" ht="70" x14ac:dyDescent="0.2">
      <c r="A105" s="2">
        <v>104</v>
      </c>
      <c r="B105" s="2" t="s">
        <v>214</v>
      </c>
      <c r="C105" s="2" t="s">
        <v>215</v>
      </c>
      <c r="D105" s="2" t="s">
        <v>21</v>
      </c>
      <c r="E105" s="2" t="s">
        <v>222</v>
      </c>
      <c r="F105" s="2" t="s">
        <v>223</v>
      </c>
      <c r="G105" s="3" t="s">
        <v>11</v>
      </c>
    </row>
    <row r="106" spans="1:7" ht="70" x14ac:dyDescent="0.2">
      <c r="A106" s="2">
        <v>105</v>
      </c>
      <c r="B106" s="2" t="s">
        <v>214</v>
      </c>
      <c r="C106" s="2" t="s">
        <v>215</v>
      </c>
      <c r="D106" s="2" t="s">
        <v>21</v>
      </c>
      <c r="E106" s="2" t="s">
        <v>224</v>
      </c>
      <c r="F106" s="2" t="s">
        <v>225</v>
      </c>
      <c r="G106" s="3" t="s">
        <v>11</v>
      </c>
    </row>
    <row r="107" spans="1:7" ht="42" x14ac:dyDescent="0.2">
      <c r="A107" s="2">
        <v>106</v>
      </c>
      <c r="B107" s="2" t="s">
        <v>214</v>
      </c>
      <c r="C107" s="2" t="s">
        <v>215</v>
      </c>
      <c r="D107" s="2" t="s">
        <v>12</v>
      </c>
      <c r="E107" s="2"/>
      <c r="F107" s="2" t="s">
        <v>226</v>
      </c>
      <c r="G107" s="3" t="s">
        <v>11</v>
      </c>
    </row>
    <row r="108" spans="1:7" ht="70" x14ac:dyDescent="0.2">
      <c r="A108" s="2">
        <v>107</v>
      </c>
      <c r="B108" s="2" t="s">
        <v>227</v>
      </c>
      <c r="C108" s="2" t="s">
        <v>228</v>
      </c>
      <c r="D108" s="2" t="s">
        <v>76</v>
      </c>
      <c r="E108" s="2" t="s">
        <v>229</v>
      </c>
      <c r="F108" s="2" t="s">
        <v>230</v>
      </c>
      <c r="G108" s="3" t="s">
        <v>11</v>
      </c>
    </row>
    <row r="109" spans="1:7" ht="70" x14ac:dyDescent="0.2">
      <c r="A109" s="2">
        <v>108</v>
      </c>
      <c r="B109" s="2" t="s">
        <v>227</v>
      </c>
      <c r="C109" s="2" t="s">
        <v>228</v>
      </c>
      <c r="D109" s="2" t="s">
        <v>76</v>
      </c>
      <c r="E109" s="2" t="s">
        <v>231</v>
      </c>
      <c r="F109" s="2" t="s">
        <v>114</v>
      </c>
      <c r="G109" s="3" t="s">
        <v>11</v>
      </c>
    </row>
    <row r="110" spans="1:7" ht="42" x14ac:dyDescent="0.2">
      <c r="A110" s="2">
        <v>109</v>
      </c>
      <c r="B110" s="2" t="s">
        <v>227</v>
      </c>
      <c r="C110" s="2" t="s">
        <v>228</v>
      </c>
      <c r="D110" s="2" t="s">
        <v>12</v>
      </c>
      <c r="E110" s="2" t="s">
        <v>232</v>
      </c>
      <c r="F110" s="2" t="s">
        <v>166</v>
      </c>
      <c r="G110" s="4" t="s">
        <v>31</v>
      </c>
    </row>
    <row r="111" spans="1:7" ht="70" x14ac:dyDescent="0.2">
      <c r="A111" s="2">
        <v>110</v>
      </c>
      <c r="B111" s="2" t="s">
        <v>227</v>
      </c>
      <c r="C111" s="2" t="s">
        <v>228</v>
      </c>
      <c r="D111" s="2" t="s">
        <v>21</v>
      </c>
      <c r="E111" s="2" t="s">
        <v>233</v>
      </c>
      <c r="F111" s="2" t="s">
        <v>234</v>
      </c>
      <c r="G111" s="3" t="s">
        <v>11</v>
      </c>
    </row>
    <row r="112" spans="1:7" ht="84" x14ac:dyDescent="0.2">
      <c r="A112" s="2">
        <v>111</v>
      </c>
      <c r="B112" s="2" t="s">
        <v>227</v>
      </c>
      <c r="C112" s="2" t="s">
        <v>228</v>
      </c>
      <c r="D112" s="2" t="s">
        <v>28</v>
      </c>
      <c r="E112" s="2" t="s">
        <v>235</v>
      </c>
      <c r="F112" s="2" t="s">
        <v>236</v>
      </c>
      <c r="G112" s="4" t="s">
        <v>31</v>
      </c>
    </row>
    <row r="113" spans="1:7" ht="126" x14ac:dyDescent="0.2">
      <c r="A113" s="2">
        <v>112</v>
      </c>
      <c r="B113" s="2" t="s">
        <v>227</v>
      </c>
      <c r="C113" s="2" t="s">
        <v>228</v>
      </c>
      <c r="D113" s="2" t="s">
        <v>28</v>
      </c>
      <c r="E113" s="2" t="s">
        <v>237</v>
      </c>
      <c r="F113" s="2" t="s">
        <v>238</v>
      </c>
      <c r="G113" s="4" t="s">
        <v>31</v>
      </c>
    </row>
    <row r="114" spans="1:7" ht="98" x14ac:dyDescent="0.2">
      <c r="A114" s="2">
        <v>113</v>
      </c>
      <c r="B114" s="2" t="s">
        <v>227</v>
      </c>
      <c r="C114" s="2" t="s">
        <v>228</v>
      </c>
      <c r="D114" s="2" t="s">
        <v>28</v>
      </c>
      <c r="E114" s="2" t="s">
        <v>239</v>
      </c>
      <c r="F114" s="2" t="s">
        <v>240</v>
      </c>
      <c r="G114" s="3" t="s">
        <v>11</v>
      </c>
    </row>
    <row r="115" spans="1:7" ht="42" x14ac:dyDescent="0.2">
      <c r="A115" s="2">
        <v>114</v>
      </c>
      <c r="B115" s="2" t="s">
        <v>227</v>
      </c>
      <c r="C115" s="2" t="s">
        <v>228</v>
      </c>
      <c r="D115" s="2" t="s">
        <v>12</v>
      </c>
      <c r="E115" s="2" t="s">
        <v>241</v>
      </c>
      <c r="F115" s="2" t="s">
        <v>242</v>
      </c>
      <c r="G115" s="4" t="s">
        <v>31</v>
      </c>
    </row>
    <row r="116" spans="1:7" ht="42" x14ac:dyDescent="0.2">
      <c r="A116" s="2">
        <v>115</v>
      </c>
      <c r="B116" s="2" t="s">
        <v>227</v>
      </c>
      <c r="C116" s="2" t="s">
        <v>228</v>
      </c>
      <c r="D116" s="2" t="s">
        <v>12</v>
      </c>
      <c r="E116" s="2" t="s">
        <v>243</v>
      </c>
      <c r="F116" s="2" t="s">
        <v>242</v>
      </c>
      <c r="G116" s="4" t="s">
        <v>31</v>
      </c>
    </row>
    <row r="117" spans="1:7" ht="70" x14ac:dyDescent="0.2">
      <c r="A117" s="2">
        <v>116</v>
      </c>
      <c r="B117" s="2" t="s">
        <v>227</v>
      </c>
      <c r="C117" s="2" t="s">
        <v>110</v>
      </c>
      <c r="D117" s="2" t="s">
        <v>28</v>
      </c>
      <c r="E117" s="2" t="s">
        <v>244</v>
      </c>
      <c r="F117" s="2" t="s">
        <v>245</v>
      </c>
      <c r="G117" s="3" t="s">
        <v>11</v>
      </c>
    </row>
    <row r="118" spans="1:7" ht="42" x14ac:dyDescent="0.2">
      <c r="A118" s="2">
        <v>117</v>
      </c>
      <c r="B118" s="2" t="s">
        <v>246</v>
      </c>
      <c r="C118" s="2" t="s">
        <v>228</v>
      </c>
      <c r="D118" s="2" t="s">
        <v>183</v>
      </c>
      <c r="E118" s="2" t="s">
        <v>247</v>
      </c>
      <c r="F118" s="2" t="s">
        <v>248</v>
      </c>
      <c r="G118" s="4" t="s">
        <v>31</v>
      </c>
    </row>
    <row r="119" spans="1:7" ht="126" x14ac:dyDescent="0.2">
      <c r="A119" s="2">
        <v>118</v>
      </c>
      <c r="B119" s="2" t="s">
        <v>246</v>
      </c>
      <c r="C119" s="2" t="s">
        <v>249</v>
      </c>
      <c r="D119" s="2" t="s">
        <v>28</v>
      </c>
      <c r="E119" s="2" t="s">
        <v>250</v>
      </c>
      <c r="F119" s="2" t="s">
        <v>251</v>
      </c>
      <c r="G119" s="3" t="s">
        <v>11</v>
      </c>
    </row>
    <row r="120" spans="1:7" ht="42" x14ac:dyDescent="0.2">
      <c r="A120" s="2">
        <v>119</v>
      </c>
      <c r="B120" s="2" t="s">
        <v>246</v>
      </c>
      <c r="C120" s="2" t="s">
        <v>249</v>
      </c>
      <c r="D120" s="2" t="s">
        <v>12</v>
      </c>
      <c r="E120" s="2" t="s">
        <v>252</v>
      </c>
      <c r="F120" s="2" t="s">
        <v>253</v>
      </c>
      <c r="G120" s="4" t="s">
        <v>31</v>
      </c>
    </row>
    <row r="121" spans="1:7" ht="140" x14ac:dyDescent="0.2">
      <c r="A121" s="2">
        <v>120</v>
      </c>
      <c r="B121" s="2" t="s">
        <v>254</v>
      </c>
      <c r="C121" s="2" t="s">
        <v>255</v>
      </c>
      <c r="D121" s="2" t="s">
        <v>28</v>
      </c>
      <c r="E121" s="2" t="s">
        <v>256</v>
      </c>
      <c r="F121" s="2" t="s">
        <v>257</v>
      </c>
      <c r="G121" s="4" t="s">
        <v>31</v>
      </c>
    </row>
    <row r="122" spans="1:7" ht="42" x14ac:dyDescent="0.2">
      <c r="A122" s="2">
        <v>121</v>
      </c>
      <c r="B122" s="2" t="s">
        <v>254</v>
      </c>
      <c r="C122" s="2" t="s">
        <v>255</v>
      </c>
      <c r="D122" s="2" t="s">
        <v>12</v>
      </c>
      <c r="E122" s="2" t="s">
        <v>258</v>
      </c>
      <c r="F122" s="2" t="s">
        <v>253</v>
      </c>
      <c r="G122" s="4" t="s">
        <v>31</v>
      </c>
    </row>
    <row r="123" spans="1:7" ht="168" x14ac:dyDescent="0.2">
      <c r="A123" s="2">
        <v>122</v>
      </c>
      <c r="B123" s="2" t="s">
        <v>259</v>
      </c>
      <c r="C123" s="2" t="s">
        <v>260</v>
      </c>
      <c r="D123" s="2"/>
      <c r="E123" s="2"/>
      <c r="F123" s="2" t="s">
        <v>261</v>
      </c>
      <c r="G123" s="3" t="s">
        <v>11</v>
      </c>
    </row>
    <row r="124" spans="1:7" ht="70" x14ac:dyDescent="0.2">
      <c r="A124" s="2">
        <v>123</v>
      </c>
      <c r="B124" s="2" t="s">
        <v>259</v>
      </c>
      <c r="C124" s="2" t="s">
        <v>262</v>
      </c>
      <c r="D124" s="2" t="s">
        <v>183</v>
      </c>
      <c r="E124" s="2" t="s">
        <v>263</v>
      </c>
      <c r="F124" s="2" t="s">
        <v>264</v>
      </c>
      <c r="G124" s="3" t="s">
        <v>11</v>
      </c>
    </row>
    <row r="125" spans="1:7" ht="70" x14ac:dyDescent="0.2">
      <c r="A125" s="2">
        <v>124</v>
      </c>
      <c r="B125" s="2" t="s">
        <v>259</v>
      </c>
      <c r="C125" s="2" t="s">
        <v>262</v>
      </c>
      <c r="D125" s="2" t="s">
        <v>21</v>
      </c>
      <c r="E125" s="2" t="s">
        <v>265</v>
      </c>
      <c r="F125" s="2" t="s">
        <v>266</v>
      </c>
      <c r="G125" s="5" t="s">
        <v>140</v>
      </c>
    </row>
    <row r="126" spans="1:7" ht="126" x14ac:dyDescent="0.2">
      <c r="A126" s="2">
        <v>125</v>
      </c>
      <c r="B126" s="2" t="s">
        <v>259</v>
      </c>
      <c r="C126" s="2" t="s">
        <v>262</v>
      </c>
      <c r="D126" s="2" t="s">
        <v>28</v>
      </c>
      <c r="E126" s="2" t="s">
        <v>267</v>
      </c>
      <c r="F126" s="2" t="s">
        <v>268</v>
      </c>
      <c r="G126" s="3" t="s">
        <v>11</v>
      </c>
    </row>
    <row r="127" spans="1:7" ht="56" x14ac:dyDescent="0.2">
      <c r="A127" s="2">
        <v>126</v>
      </c>
      <c r="B127" s="2" t="s">
        <v>259</v>
      </c>
      <c r="C127" s="2" t="s">
        <v>262</v>
      </c>
      <c r="D127" s="2" t="s">
        <v>76</v>
      </c>
      <c r="E127" s="2" t="s">
        <v>269</v>
      </c>
      <c r="F127" s="2" t="s">
        <v>270</v>
      </c>
      <c r="G127" s="3" t="s">
        <v>11</v>
      </c>
    </row>
    <row r="128" spans="1:7" ht="168" x14ac:dyDescent="0.2">
      <c r="A128" s="2">
        <v>127</v>
      </c>
      <c r="B128" s="2" t="s">
        <v>271</v>
      </c>
      <c r="C128" s="2" t="s">
        <v>272</v>
      </c>
      <c r="D128" s="2"/>
      <c r="E128" s="2"/>
      <c r="F128" s="2" t="s">
        <v>273</v>
      </c>
      <c r="G128" s="3" t="s">
        <v>11</v>
      </c>
    </row>
    <row r="129" spans="1:7" ht="182" x14ac:dyDescent="0.2">
      <c r="A129" s="2">
        <v>128</v>
      </c>
      <c r="B129" s="2" t="s">
        <v>271</v>
      </c>
      <c r="C129" s="2" t="s">
        <v>274</v>
      </c>
      <c r="D129" s="2" t="s">
        <v>28</v>
      </c>
      <c r="E129" s="2" t="s">
        <v>275</v>
      </c>
      <c r="F129" s="2" t="s">
        <v>276</v>
      </c>
      <c r="G129" s="3" t="s">
        <v>11</v>
      </c>
    </row>
    <row r="130" spans="1:7" ht="56" x14ac:dyDescent="0.2">
      <c r="A130" s="2">
        <v>129</v>
      </c>
      <c r="B130" s="2" t="s">
        <v>271</v>
      </c>
      <c r="C130" s="2" t="s">
        <v>274</v>
      </c>
      <c r="D130" s="2" t="s">
        <v>12</v>
      </c>
      <c r="E130" s="2" t="s">
        <v>277</v>
      </c>
      <c r="F130" s="2" t="s">
        <v>278</v>
      </c>
      <c r="G130" s="3" t="s">
        <v>11</v>
      </c>
    </row>
    <row r="131" spans="1:7" ht="98" x14ac:dyDescent="0.2">
      <c r="A131" s="2">
        <v>130</v>
      </c>
      <c r="B131" s="2" t="s">
        <v>271</v>
      </c>
      <c r="C131" s="2" t="s">
        <v>274</v>
      </c>
      <c r="D131" s="2"/>
      <c r="E131" s="2"/>
      <c r="F131" s="2" t="s">
        <v>279</v>
      </c>
      <c r="G131" s="3" t="s">
        <v>11</v>
      </c>
    </row>
    <row r="132" spans="1:7" ht="224" x14ac:dyDescent="0.2">
      <c r="A132" s="2">
        <v>131</v>
      </c>
      <c r="B132" s="2" t="s">
        <v>271</v>
      </c>
      <c r="C132" s="2" t="s">
        <v>272</v>
      </c>
      <c r="D132" s="2" t="s">
        <v>21</v>
      </c>
      <c r="E132" s="2" t="s">
        <v>280</v>
      </c>
      <c r="F132" s="2" t="s">
        <v>281</v>
      </c>
      <c r="G132" s="3" t="s">
        <v>11</v>
      </c>
    </row>
    <row r="133" spans="1:7" ht="140" x14ac:dyDescent="0.2">
      <c r="A133" s="2">
        <v>132</v>
      </c>
      <c r="B133" s="2" t="s">
        <v>282</v>
      </c>
      <c r="C133" s="2" t="s">
        <v>272</v>
      </c>
      <c r="D133" s="2"/>
      <c r="E133" s="2"/>
      <c r="F133" s="2" t="s">
        <v>283</v>
      </c>
      <c r="G133" s="3" t="s">
        <v>11</v>
      </c>
    </row>
    <row r="134" spans="1:7" ht="140" x14ac:dyDescent="0.2">
      <c r="A134" s="2">
        <v>133</v>
      </c>
      <c r="B134" s="2" t="s">
        <v>282</v>
      </c>
      <c r="C134" s="2" t="s">
        <v>272</v>
      </c>
      <c r="D134" s="2" t="s">
        <v>36</v>
      </c>
      <c r="E134" s="2" t="s">
        <v>284</v>
      </c>
      <c r="F134" s="2" t="s">
        <v>285</v>
      </c>
      <c r="G134" s="3" t="s">
        <v>11</v>
      </c>
    </row>
    <row r="135" spans="1:7" ht="84" x14ac:dyDescent="0.2">
      <c r="A135" s="2">
        <v>134</v>
      </c>
      <c r="B135" s="2" t="s">
        <v>282</v>
      </c>
      <c r="C135" s="2" t="s">
        <v>272</v>
      </c>
      <c r="D135" s="2" t="s">
        <v>286</v>
      </c>
      <c r="E135" s="2" t="s">
        <v>287</v>
      </c>
      <c r="F135" s="2" t="s">
        <v>288</v>
      </c>
      <c r="G135" s="3" t="s">
        <v>11</v>
      </c>
    </row>
    <row r="136" spans="1:7" ht="42" x14ac:dyDescent="0.2">
      <c r="A136" s="2">
        <v>135</v>
      </c>
      <c r="B136" s="2" t="s">
        <v>282</v>
      </c>
      <c r="C136" s="2" t="s">
        <v>272</v>
      </c>
      <c r="D136" s="2" t="s">
        <v>286</v>
      </c>
      <c r="E136" s="2" t="s">
        <v>289</v>
      </c>
      <c r="F136" s="2" t="s">
        <v>290</v>
      </c>
      <c r="G136" s="3" t="s">
        <v>11</v>
      </c>
    </row>
    <row r="137" spans="1:7" ht="70" x14ac:dyDescent="0.2">
      <c r="A137" s="2">
        <v>136</v>
      </c>
      <c r="B137" s="2" t="s">
        <v>282</v>
      </c>
      <c r="C137" s="2" t="s">
        <v>272</v>
      </c>
      <c r="D137" s="2" t="s">
        <v>12</v>
      </c>
      <c r="E137" s="2" t="s">
        <v>291</v>
      </c>
      <c r="F137" s="2" t="s">
        <v>292</v>
      </c>
      <c r="G137" s="6" t="s">
        <v>207</v>
      </c>
    </row>
    <row r="138" spans="1:7" ht="112" x14ac:dyDescent="0.2">
      <c r="A138" s="2">
        <v>137</v>
      </c>
      <c r="B138" s="2" t="s">
        <v>282</v>
      </c>
      <c r="C138" s="2" t="s">
        <v>272</v>
      </c>
      <c r="D138" s="2" t="s">
        <v>28</v>
      </c>
      <c r="E138" s="2" t="s">
        <v>293</v>
      </c>
      <c r="F138" s="2" t="s">
        <v>294</v>
      </c>
      <c r="G138" s="3" t="s">
        <v>11</v>
      </c>
    </row>
    <row r="139" spans="1:7" ht="154" x14ac:dyDescent="0.2">
      <c r="A139" s="2">
        <v>138</v>
      </c>
      <c r="B139" s="2" t="s">
        <v>295</v>
      </c>
      <c r="C139" s="2" t="s">
        <v>272</v>
      </c>
      <c r="D139" s="2"/>
      <c r="E139" s="2"/>
      <c r="F139" s="2" t="s">
        <v>296</v>
      </c>
      <c r="G139" s="3" t="s">
        <v>11</v>
      </c>
    </row>
    <row r="140" spans="1:7" ht="42" x14ac:dyDescent="0.2">
      <c r="A140" s="2">
        <v>139</v>
      </c>
      <c r="B140" s="2" t="s">
        <v>295</v>
      </c>
      <c r="C140" s="2" t="s">
        <v>272</v>
      </c>
      <c r="D140" s="2" t="s">
        <v>12</v>
      </c>
      <c r="E140" s="2" t="s">
        <v>297</v>
      </c>
      <c r="F140" s="2" t="s">
        <v>298</v>
      </c>
      <c r="G140" s="6" t="s">
        <v>207</v>
      </c>
    </row>
    <row r="141" spans="1:7" ht="98" x14ac:dyDescent="0.2">
      <c r="A141" s="2">
        <v>140</v>
      </c>
      <c r="B141" s="2" t="s">
        <v>295</v>
      </c>
      <c r="C141" s="2" t="s">
        <v>272</v>
      </c>
      <c r="D141" s="2" t="s">
        <v>28</v>
      </c>
      <c r="E141" s="2" t="s">
        <v>299</v>
      </c>
      <c r="F141" s="2" t="s">
        <v>300</v>
      </c>
      <c r="G141" s="6" t="s">
        <v>207</v>
      </c>
    </row>
    <row r="142" spans="1:7" ht="84" x14ac:dyDescent="0.2">
      <c r="A142" s="2">
        <v>141</v>
      </c>
      <c r="B142" s="2" t="s">
        <v>295</v>
      </c>
      <c r="C142" s="2" t="s">
        <v>301</v>
      </c>
      <c r="D142" s="2" t="s">
        <v>28</v>
      </c>
      <c r="E142" s="2" t="s">
        <v>302</v>
      </c>
      <c r="F142" s="2" t="s">
        <v>303</v>
      </c>
      <c r="G142" s="3" t="s">
        <v>11</v>
      </c>
    </row>
    <row r="143" spans="1:7" ht="42" x14ac:dyDescent="0.2">
      <c r="A143" s="2">
        <v>142</v>
      </c>
      <c r="B143" s="2" t="s">
        <v>304</v>
      </c>
      <c r="C143" s="2" t="s">
        <v>301</v>
      </c>
      <c r="D143" s="2" t="s">
        <v>12</v>
      </c>
      <c r="E143" s="2" t="s">
        <v>305</v>
      </c>
      <c r="F143" s="2" t="s">
        <v>306</v>
      </c>
      <c r="G143" s="3" t="s">
        <v>11</v>
      </c>
    </row>
    <row r="144" spans="1:7" ht="42" x14ac:dyDescent="0.2">
      <c r="A144" s="2">
        <v>143</v>
      </c>
      <c r="B144" s="2" t="s">
        <v>307</v>
      </c>
      <c r="C144" s="2" t="s">
        <v>308</v>
      </c>
      <c r="D144" s="2" t="s">
        <v>309</v>
      </c>
      <c r="E144" s="2" t="s">
        <v>310</v>
      </c>
      <c r="F144" s="2" t="s">
        <v>311</v>
      </c>
      <c r="G144" s="6" t="s">
        <v>207</v>
      </c>
    </row>
    <row r="145" spans="1:7" ht="70" x14ac:dyDescent="0.2">
      <c r="A145" s="2">
        <v>144</v>
      </c>
      <c r="B145" s="2" t="s">
        <v>307</v>
      </c>
      <c r="C145" s="2" t="s">
        <v>308</v>
      </c>
      <c r="D145" s="2"/>
      <c r="E145" s="2"/>
      <c r="F145" s="2" t="s">
        <v>312</v>
      </c>
      <c r="G145" s="3" t="s">
        <v>11</v>
      </c>
    </row>
    <row r="146" spans="1:7" ht="42" x14ac:dyDescent="0.2">
      <c r="A146" s="2">
        <v>145</v>
      </c>
      <c r="B146" s="2" t="s">
        <v>307</v>
      </c>
      <c r="C146" s="2" t="s">
        <v>308</v>
      </c>
      <c r="D146" s="2" t="s">
        <v>12</v>
      </c>
      <c r="E146" s="2" t="s">
        <v>313</v>
      </c>
      <c r="F146" s="2" t="s">
        <v>314</v>
      </c>
      <c r="G146" s="6" t="s">
        <v>207</v>
      </c>
    </row>
    <row r="147" spans="1:7" ht="28" x14ac:dyDescent="0.2">
      <c r="A147" s="2">
        <v>146</v>
      </c>
      <c r="B147" s="2" t="s">
        <v>315</v>
      </c>
      <c r="C147" s="2" t="s">
        <v>316</v>
      </c>
      <c r="D147" s="2" t="s">
        <v>36</v>
      </c>
      <c r="E147" s="2" t="s">
        <v>317</v>
      </c>
      <c r="F147" s="2" t="s">
        <v>318</v>
      </c>
      <c r="G147" s="6" t="s">
        <v>207</v>
      </c>
    </row>
    <row r="148" spans="1:7" ht="112" x14ac:dyDescent="0.2">
      <c r="A148" s="2">
        <v>147</v>
      </c>
      <c r="B148" s="2" t="s">
        <v>315</v>
      </c>
      <c r="C148" s="2" t="s">
        <v>316</v>
      </c>
      <c r="D148" s="2" t="s">
        <v>36</v>
      </c>
      <c r="E148" s="2" t="s">
        <v>319</v>
      </c>
      <c r="F148" s="2" t="s">
        <v>320</v>
      </c>
      <c r="G148" s="6" t="s">
        <v>207</v>
      </c>
    </row>
    <row r="149" spans="1:7" ht="98" x14ac:dyDescent="0.2">
      <c r="A149" s="2">
        <v>148</v>
      </c>
      <c r="B149" s="2" t="s">
        <v>315</v>
      </c>
      <c r="C149" s="2" t="s">
        <v>316</v>
      </c>
      <c r="D149" s="2" t="s">
        <v>36</v>
      </c>
      <c r="E149" s="2" t="s">
        <v>321</v>
      </c>
      <c r="F149" s="2" t="s">
        <v>322</v>
      </c>
      <c r="G149" s="6" t="s">
        <v>207</v>
      </c>
    </row>
    <row r="150" spans="1:7" ht="126" x14ac:dyDescent="0.2">
      <c r="A150" s="2">
        <v>149</v>
      </c>
      <c r="B150" s="2" t="s">
        <v>315</v>
      </c>
      <c r="C150" s="2" t="s">
        <v>316</v>
      </c>
      <c r="D150" s="2" t="s">
        <v>286</v>
      </c>
      <c r="E150" s="2" t="s">
        <v>323</v>
      </c>
      <c r="F150" s="2" t="s">
        <v>324</v>
      </c>
      <c r="G150" s="6" t="s">
        <v>207</v>
      </c>
    </row>
    <row r="151" spans="1:7" ht="28" x14ac:dyDescent="0.2">
      <c r="A151" s="2">
        <v>150</v>
      </c>
      <c r="B151" s="2" t="s">
        <v>315</v>
      </c>
      <c r="C151" s="2" t="s">
        <v>316</v>
      </c>
      <c r="D151" s="2" t="s">
        <v>286</v>
      </c>
      <c r="E151" s="2" t="s">
        <v>325</v>
      </c>
      <c r="F151" s="2" t="s">
        <v>322</v>
      </c>
      <c r="G151" s="6" t="s">
        <v>207</v>
      </c>
    </row>
    <row r="152" spans="1:7" ht="84" x14ac:dyDescent="0.2">
      <c r="A152" s="2">
        <v>151</v>
      </c>
      <c r="B152" s="2" t="s">
        <v>315</v>
      </c>
      <c r="C152" s="2" t="s">
        <v>316</v>
      </c>
      <c r="D152" s="2" t="s">
        <v>309</v>
      </c>
      <c r="E152" s="2" t="s">
        <v>326</v>
      </c>
      <c r="F152" s="2" t="s">
        <v>324</v>
      </c>
      <c r="G152" s="6" t="s">
        <v>207</v>
      </c>
    </row>
    <row r="153" spans="1:7" ht="28" x14ac:dyDescent="0.2">
      <c r="A153" s="2">
        <v>152</v>
      </c>
      <c r="B153" s="2" t="s">
        <v>315</v>
      </c>
      <c r="C153" s="2" t="s">
        <v>316</v>
      </c>
      <c r="D153" s="2" t="s">
        <v>183</v>
      </c>
      <c r="E153" s="2" t="s">
        <v>327</v>
      </c>
      <c r="F153" s="2" t="s">
        <v>328</v>
      </c>
      <c r="G153" s="6" t="s">
        <v>207</v>
      </c>
    </row>
    <row r="154" spans="1:7" ht="168" x14ac:dyDescent="0.2">
      <c r="A154" s="2">
        <v>153</v>
      </c>
      <c r="B154" s="2" t="s">
        <v>315</v>
      </c>
      <c r="C154" s="2" t="s">
        <v>316</v>
      </c>
      <c r="D154" s="2" t="s">
        <v>183</v>
      </c>
      <c r="E154" s="2" t="s">
        <v>329</v>
      </c>
      <c r="F154" s="2" t="s">
        <v>324</v>
      </c>
      <c r="G154" s="6" t="s">
        <v>207</v>
      </c>
    </row>
    <row r="155" spans="1:7" ht="56" x14ac:dyDescent="0.2">
      <c r="A155" s="2">
        <v>154</v>
      </c>
      <c r="B155" s="2" t="s">
        <v>315</v>
      </c>
      <c r="C155" s="2" t="s">
        <v>316</v>
      </c>
      <c r="D155" s="2" t="s">
        <v>28</v>
      </c>
      <c r="E155" s="2" t="s">
        <v>330</v>
      </c>
      <c r="F155" s="2" t="s">
        <v>328</v>
      </c>
      <c r="G155" s="6" t="s">
        <v>207</v>
      </c>
    </row>
    <row r="156" spans="1:7" ht="140" x14ac:dyDescent="0.2">
      <c r="A156" s="2">
        <v>155</v>
      </c>
      <c r="B156" s="2" t="s">
        <v>315</v>
      </c>
      <c r="C156" s="2" t="s">
        <v>316</v>
      </c>
      <c r="D156" s="2" t="s">
        <v>28</v>
      </c>
      <c r="E156" s="2" t="s">
        <v>331</v>
      </c>
      <c r="F156" s="2" t="s">
        <v>332</v>
      </c>
      <c r="G156" s="6" t="s">
        <v>207</v>
      </c>
    </row>
    <row r="157" spans="1:7" ht="126" x14ac:dyDescent="0.2">
      <c r="A157" s="2">
        <v>156</v>
      </c>
      <c r="B157" s="2" t="s">
        <v>315</v>
      </c>
      <c r="C157" s="2" t="s">
        <v>316</v>
      </c>
      <c r="D157" s="2" t="s">
        <v>12</v>
      </c>
      <c r="E157" s="2" t="s">
        <v>333</v>
      </c>
      <c r="F157" s="2" t="s">
        <v>328</v>
      </c>
      <c r="G157" s="6" t="s">
        <v>207</v>
      </c>
    </row>
    <row r="158" spans="1:7" ht="28" x14ac:dyDescent="0.2">
      <c r="A158" s="2">
        <v>157</v>
      </c>
      <c r="B158" s="2" t="s">
        <v>315</v>
      </c>
      <c r="C158" s="2" t="s">
        <v>316</v>
      </c>
      <c r="D158" s="2"/>
      <c r="E158" s="2"/>
      <c r="F158" s="2" t="s">
        <v>139</v>
      </c>
      <c r="G158" s="5" t="s">
        <v>140</v>
      </c>
    </row>
    <row r="159" spans="1:7" ht="28" x14ac:dyDescent="0.2">
      <c r="A159" s="2">
        <v>158</v>
      </c>
      <c r="B159" s="2" t="s">
        <v>315</v>
      </c>
      <c r="C159" s="2" t="s">
        <v>316</v>
      </c>
      <c r="D159" s="2"/>
      <c r="E159" s="2"/>
      <c r="F159" s="2" t="s">
        <v>139</v>
      </c>
      <c r="G159" s="5" t="s">
        <v>140</v>
      </c>
    </row>
    <row r="160" spans="1:7" ht="28" x14ac:dyDescent="0.2">
      <c r="A160" s="2">
        <v>159</v>
      </c>
      <c r="B160" s="2" t="s">
        <v>315</v>
      </c>
      <c r="C160" s="2" t="s">
        <v>316</v>
      </c>
      <c r="D160" s="2"/>
      <c r="E160" s="2"/>
      <c r="F160" s="2" t="s">
        <v>139</v>
      </c>
      <c r="G160" s="5" t="s">
        <v>140</v>
      </c>
    </row>
    <row r="161" spans="1:7" ht="28" x14ac:dyDescent="0.2">
      <c r="A161" s="2">
        <v>160</v>
      </c>
      <c r="B161" s="2" t="s">
        <v>315</v>
      </c>
      <c r="C161" s="2" t="s">
        <v>316</v>
      </c>
      <c r="D161" s="2"/>
      <c r="E161" s="2"/>
      <c r="F161" s="2" t="s">
        <v>139</v>
      </c>
      <c r="G161" s="5" t="s">
        <v>140</v>
      </c>
    </row>
    <row r="162" spans="1:7" ht="28" x14ac:dyDescent="0.2">
      <c r="A162" s="2">
        <v>161</v>
      </c>
      <c r="B162" s="2" t="s">
        <v>315</v>
      </c>
      <c r="C162" s="2" t="s">
        <v>316</v>
      </c>
      <c r="D162" s="2"/>
      <c r="E162" s="2"/>
      <c r="F162" s="2" t="s">
        <v>139</v>
      </c>
      <c r="G162" s="5" t="s">
        <v>140</v>
      </c>
    </row>
    <row r="163" spans="1:7" ht="70" x14ac:dyDescent="0.2">
      <c r="A163" s="2">
        <v>162</v>
      </c>
      <c r="B163" s="2" t="s">
        <v>334</v>
      </c>
      <c r="C163" s="2" t="s">
        <v>316</v>
      </c>
      <c r="D163" s="2"/>
      <c r="E163" s="2"/>
      <c r="F163" s="2" t="s">
        <v>335</v>
      </c>
      <c r="G163" s="3" t="s">
        <v>11</v>
      </c>
    </row>
    <row r="164" spans="1:7" ht="42" x14ac:dyDescent="0.2">
      <c r="A164" s="2">
        <v>163</v>
      </c>
      <c r="B164" s="2" t="s">
        <v>334</v>
      </c>
      <c r="C164" s="2" t="s">
        <v>316</v>
      </c>
      <c r="D164" s="2" t="s">
        <v>183</v>
      </c>
      <c r="E164" s="2" t="s">
        <v>336</v>
      </c>
      <c r="F164" s="2" t="s">
        <v>322</v>
      </c>
      <c r="G164" s="6" t="s">
        <v>207</v>
      </c>
    </row>
    <row r="165" spans="1:7" ht="70" x14ac:dyDescent="0.2">
      <c r="A165" s="2">
        <v>164</v>
      </c>
      <c r="B165" s="2" t="s">
        <v>334</v>
      </c>
      <c r="C165" s="2" t="s">
        <v>316</v>
      </c>
      <c r="D165" s="2" t="s">
        <v>28</v>
      </c>
      <c r="E165" s="2" t="s">
        <v>337</v>
      </c>
      <c r="F165" s="2" t="s">
        <v>322</v>
      </c>
      <c r="G165" s="6" t="s">
        <v>207</v>
      </c>
    </row>
    <row r="166" spans="1:7" ht="182" x14ac:dyDescent="0.2">
      <c r="A166" s="2">
        <v>165</v>
      </c>
      <c r="B166" s="2" t="s">
        <v>334</v>
      </c>
      <c r="C166" s="2" t="s">
        <v>316</v>
      </c>
      <c r="D166" s="2" t="s">
        <v>12</v>
      </c>
      <c r="E166" s="2" t="s">
        <v>338</v>
      </c>
      <c r="F166" s="2" t="s">
        <v>339</v>
      </c>
      <c r="G166" s="3" t="s">
        <v>11</v>
      </c>
    </row>
    <row r="167" spans="1:7" ht="98" x14ac:dyDescent="0.2">
      <c r="A167" s="2">
        <v>166</v>
      </c>
      <c r="B167" s="2" t="s">
        <v>334</v>
      </c>
      <c r="C167" s="2" t="s">
        <v>340</v>
      </c>
      <c r="D167" s="2" t="s">
        <v>28</v>
      </c>
      <c r="E167" s="2" t="s">
        <v>341</v>
      </c>
      <c r="F167" s="2" t="s">
        <v>342</v>
      </c>
      <c r="G167" s="6" t="s">
        <v>207</v>
      </c>
    </row>
    <row r="168" spans="1:7" ht="154" x14ac:dyDescent="0.2">
      <c r="A168" s="2">
        <v>167</v>
      </c>
      <c r="B168" s="2" t="s">
        <v>334</v>
      </c>
      <c r="C168" s="2" t="s">
        <v>316</v>
      </c>
      <c r="D168" s="2"/>
      <c r="E168" s="2"/>
      <c r="F168" s="2" t="s">
        <v>343</v>
      </c>
      <c r="G168" s="3" t="s">
        <v>11</v>
      </c>
    </row>
    <row r="169" spans="1:7" ht="306" x14ac:dyDescent="0.2">
      <c r="A169" s="2">
        <v>168</v>
      </c>
      <c r="B169" s="2" t="s">
        <v>334</v>
      </c>
      <c r="C169" s="2" t="s">
        <v>316</v>
      </c>
      <c r="D169" s="2"/>
      <c r="E169" s="2"/>
      <c r="F169" s="2" t="s">
        <v>344</v>
      </c>
      <c r="G169" s="3" t="s">
        <v>11</v>
      </c>
    </row>
    <row r="170" spans="1:7" ht="70" x14ac:dyDescent="0.2">
      <c r="A170" s="2">
        <v>169</v>
      </c>
      <c r="B170" s="2" t="s">
        <v>334</v>
      </c>
      <c r="C170" s="2" t="s">
        <v>316</v>
      </c>
      <c r="D170" s="2"/>
      <c r="E170" s="2"/>
      <c r="F170" s="2" t="s">
        <v>345</v>
      </c>
      <c r="G170" s="3" t="s">
        <v>11</v>
      </c>
    </row>
    <row r="171" spans="1:7" ht="280" x14ac:dyDescent="0.2">
      <c r="A171" s="2">
        <v>170</v>
      </c>
      <c r="B171" s="2" t="s">
        <v>334</v>
      </c>
      <c r="C171" s="2" t="s">
        <v>316</v>
      </c>
      <c r="D171" s="2"/>
      <c r="E171" s="2"/>
      <c r="F171" s="2" t="s">
        <v>346</v>
      </c>
      <c r="G171" s="3" t="s">
        <v>11</v>
      </c>
    </row>
    <row r="172" spans="1:7" ht="168" x14ac:dyDescent="0.2">
      <c r="A172" s="2">
        <v>171</v>
      </c>
      <c r="B172" s="2" t="s">
        <v>334</v>
      </c>
      <c r="C172" s="2" t="s">
        <v>316</v>
      </c>
      <c r="D172" s="2"/>
      <c r="E172" s="2"/>
      <c r="F172" s="2" t="s">
        <v>347</v>
      </c>
      <c r="G172" s="3" t="s">
        <v>11</v>
      </c>
    </row>
    <row r="173" spans="1:7" ht="409.6" x14ac:dyDescent="0.2">
      <c r="A173" s="2">
        <v>172</v>
      </c>
      <c r="B173" s="2" t="s">
        <v>334</v>
      </c>
      <c r="C173" s="2" t="s">
        <v>316</v>
      </c>
      <c r="D173" s="2"/>
      <c r="E173" s="2"/>
      <c r="F173" s="2" t="s">
        <v>348</v>
      </c>
      <c r="G173" s="3" t="s">
        <v>11</v>
      </c>
    </row>
    <row r="174" spans="1:7" ht="182" x14ac:dyDescent="0.2">
      <c r="A174" s="2">
        <v>173</v>
      </c>
      <c r="B174" s="2" t="s">
        <v>349</v>
      </c>
      <c r="C174" s="2" t="s">
        <v>350</v>
      </c>
      <c r="D174" s="2"/>
      <c r="E174" s="2"/>
      <c r="F174" s="2" t="s">
        <v>351</v>
      </c>
      <c r="G174" s="3" t="s">
        <v>11</v>
      </c>
    </row>
    <row r="175" spans="1:7" ht="70" x14ac:dyDescent="0.2">
      <c r="A175" s="2">
        <v>174</v>
      </c>
      <c r="B175" s="2" t="s">
        <v>349</v>
      </c>
      <c r="C175" s="2" t="s">
        <v>350</v>
      </c>
      <c r="D175" s="2"/>
      <c r="E175" s="2"/>
      <c r="F175" s="2" t="s">
        <v>352</v>
      </c>
      <c r="G175" s="3" t="s">
        <v>11</v>
      </c>
    </row>
    <row r="176" spans="1:7" ht="84" x14ac:dyDescent="0.2">
      <c r="A176" s="2">
        <v>175</v>
      </c>
      <c r="B176" s="2" t="s">
        <v>349</v>
      </c>
      <c r="C176" s="2" t="s">
        <v>350</v>
      </c>
      <c r="D176" s="2" t="s">
        <v>309</v>
      </c>
      <c r="E176" s="2" t="s">
        <v>353</v>
      </c>
      <c r="F176" s="2" t="s">
        <v>139</v>
      </c>
      <c r="G176" s="5" t="s">
        <v>140</v>
      </c>
    </row>
    <row r="177" spans="1:7" ht="112" x14ac:dyDescent="0.2">
      <c r="A177" s="2">
        <v>176</v>
      </c>
      <c r="B177" s="2" t="s">
        <v>349</v>
      </c>
      <c r="C177" s="2" t="s">
        <v>350</v>
      </c>
      <c r="D177" s="2" t="s">
        <v>36</v>
      </c>
      <c r="E177" s="2" t="s">
        <v>354</v>
      </c>
      <c r="F177" s="2" t="s">
        <v>139</v>
      </c>
      <c r="G177" s="5" t="s">
        <v>140</v>
      </c>
    </row>
    <row r="178" spans="1:7" ht="42" x14ac:dyDescent="0.2">
      <c r="A178" s="2">
        <v>177</v>
      </c>
      <c r="B178" s="2" t="s">
        <v>349</v>
      </c>
      <c r="C178" s="2" t="s">
        <v>350</v>
      </c>
      <c r="D178" s="2" t="s">
        <v>21</v>
      </c>
      <c r="E178" s="2" t="s">
        <v>355</v>
      </c>
      <c r="F178" s="2" t="s">
        <v>356</v>
      </c>
      <c r="G178" s="3" t="s">
        <v>11</v>
      </c>
    </row>
    <row r="179" spans="1:7" ht="70" x14ac:dyDescent="0.2">
      <c r="A179" s="2">
        <v>178</v>
      </c>
      <c r="B179" s="2" t="s">
        <v>349</v>
      </c>
      <c r="C179" s="2" t="s">
        <v>350</v>
      </c>
      <c r="D179" s="2" t="s">
        <v>286</v>
      </c>
      <c r="E179" s="2" t="s">
        <v>357</v>
      </c>
      <c r="F179" s="2" t="s">
        <v>139</v>
      </c>
      <c r="G179" s="5" t="s">
        <v>140</v>
      </c>
    </row>
    <row r="180" spans="1:7" ht="42" x14ac:dyDescent="0.2">
      <c r="A180" s="2">
        <v>179</v>
      </c>
      <c r="B180" s="2" t="s">
        <v>349</v>
      </c>
      <c r="C180" s="2" t="s">
        <v>350</v>
      </c>
      <c r="D180" s="2" t="s">
        <v>183</v>
      </c>
      <c r="E180" s="2" t="s">
        <v>358</v>
      </c>
      <c r="F180" s="2" t="s">
        <v>139</v>
      </c>
      <c r="G180" s="5" t="s">
        <v>140</v>
      </c>
    </row>
    <row r="181" spans="1:7" ht="126" x14ac:dyDescent="0.2">
      <c r="A181" s="2">
        <v>180</v>
      </c>
      <c r="B181" s="2" t="s">
        <v>349</v>
      </c>
      <c r="C181" s="2" t="s">
        <v>350</v>
      </c>
      <c r="D181" s="2" t="s">
        <v>28</v>
      </c>
      <c r="E181" s="2" t="s">
        <v>359</v>
      </c>
      <c r="F181" s="2" t="s">
        <v>360</v>
      </c>
      <c r="G181" s="3" t="s">
        <v>11</v>
      </c>
    </row>
    <row r="182" spans="1:7" ht="112" x14ac:dyDescent="0.2">
      <c r="A182" s="2">
        <v>181</v>
      </c>
      <c r="B182" s="2" t="s">
        <v>349</v>
      </c>
      <c r="C182" s="2" t="s">
        <v>350</v>
      </c>
      <c r="D182" s="2" t="s">
        <v>28</v>
      </c>
      <c r="E182" s="2" t="s">
        <v>361</v>
      </c>
      <c r="F182" s="2" t="s">
        <v>362</v>
      </c>
      <c r="G182" s="3" t="s">
        <v>11</v>
      </c>
    </row>
    <row r="183" spans="1:7" ht="98" x14ac:dyDescent="0.2">
      <c r="A183" s="2">
        <v>182</v>
      </c>
      <c r="B183" s="2" t="s">
        <v>363</v>
      </c>
      <c r="C183" s="2" t="s">
        <v>301</v>
      </c>
      <c r="D183" s="2" t="s">
        <v>21</v>
      </c>
      <c r="E183" s="2" t="s">
        <v>364</v>
      </c>
      <c r="F183" s="2" t="s">
        <v>365</v>
      </c>
      <c r="G183" s="3" t="s">
        <v>11</v>
      </c>
    </row>
    <row r="184" spans="1:7" ht="126" x14ac:dyDescent="0.2">
      <c r="A184" s="2">
        <v>183</v>
      </c>
      <c r="B184" s="2" t="s">
        <v>366</v>
      </c>
      <c r="C184" s="2" t="s">
        <v>350</v>
      </c>
      <c r="D184" s="2" t="s">
        <v>28</v>
      </c>
      <c r="E184" s="2" t="s">
        <v>367</v>
      </c>
      <c r="F184" s="2" t="s">
        <v>368</v>
      </c>
      <c r="G184" s="6" t="s">
        <v>207</v>
      </c>
    </row>
    <row r="185" spans="1:7" ht="56" x14ac:dyDescent="0.2">
      <c r="A185" s="2">
        <v>184</v>
      </c>
      <c r="B185" s="2" t="s">
        <v>366</v>
      </c>
      <c r="C185" s="2" t="s">
        <v>350</v>
      </c>
      <c r="D185" s="2" t="s">
        <v>12</v>
      </c>
      <c r="E185" s="2" t="s">
        <v>369</v>
      </c>
      <c r="F185" s="2" t="s">
        <v>266</v>
      </c>
      <c r="G185" s="5" t="s">
        <v>140</v>
      </c>
    </row>
    <row r="186" spans="1:7" ht="84" x14ac:dyDescent="0.2">
      <c r="A186" s="2">
        <v>185</v>
      </c>
      <c r="B186" s="2" t="s">
        <v>366</v>
      </c>
      <c r="C186" s="2" t="s">
        <v>350</v>
      </c>
      <c r="D186" s="2"/>
      <c r="E186" s="2" t="s">
        <v>370</v>
      </c>
      <c r="F186" s="2" t="s">
        <v>371</v>
      </c>
      <c r="G186" s="3" t="s">
        <v>11</v>
      </c>
    </row>
    <row r="187" spans="1:7" ht="126" x14ac:dyDescent="0.2">
      <c r="A187" s="2">
        <v>186</v>
      </c>
      <c r="B187" s="2" t="s">
        <v>366</v>
      </c>
      <c r="C187" s="2" t="s">
        <v>350</v>
      </c>
      <c r="D187" s="2" t="s">
        <v>12</v>
      </c>
      <c r="E187" s="2" t="s">
        <v>372</v>
      </c>
      <c r="F187" s="2" t="s">
        <v>373</v>
      </c>
      <c r="G187" s="3" t="s">
        <v>11</v>
      </c>
    </row>
    <row r="188" spans="1:7" ht="42" x14ac:dyDescent="0.2">
      <c r="A188" s="2">
        <v>187</v>
      </c>
      <c r="B188" s="2" t="s">
        <v>374</v>
      </c>
      <c r="C188" s="2" t="s">
        <v>340</v>
      </c>
      <c r="D188" s="2"/>
      <c r="E188" s="2"/>
      <c r="F188" s="2" t="s">
        <v>375</v>
      </c>
      <c r="G188" s="3" t="s">
        <v>11</v>
      </c>
    </row>
    <row r="189" spans="1:7" ht="70" x14ac:dyDescent="0.2">
      <c r="A189" s="2">
        <v>188</v>
      </c>
      <c r="B189" s="2" t="s">
        <v>376</v>
      </c>
      <c r="C189" s="2" t="s">
        <v>340</v>
      </c>
      <c r="D189" s="2" t="s">
        <v>12</v>
      </c>
      <c r="E189" s="2"/>
      <c r="F189" s="2" t="s">
        <v>377</v>
      </c>
      <c r="G189" s="6" t="s">
        <v>207</v>
      </c>
    </row>
    <row r="190" spans="1:7" ht="56" x14ac:dyDescent="0.2">
      <c r="A190" s="2">
        <v>189</v>
      </c>
      <c r="B190" s="2" t="s">
        <v>378</v>
      </c>
      <c r="C190" s="2" t="s">
        <v>379</v>
      </c>
      <c r="D190" s="2" t="s">
        <v>12</v>
      </c>
      <c r="E190" s="2" t="s">
        <v>380</v>
      </c>
      <c r="F190" s="2" t="s">
        <v>381</v>
      </c>
      <c r="G190" s="3" t="s">
        <v>11</v>
      </c>
    </row>
    <row r="191" spans="1:7" ht="84" x14ac:dyDescent="0.2">
      <c r="A191" s="2">
        <v>190</v>
      </c>
      <c r="B191" s="2" t="s">
        <v>382</v>
      </c>
      <c r="C191" s="2" t="s">
        <v>379</v>
      </c>
      <c r="D191" s="2" t="s">
        <v>28</v>
      </c>
      <c r="E191" s="2" t="s">
        <v>383</v>
      </c>
      <c r="F191" s="2" t="s">
        <v>384</v>
      </c>
      <c r="G191" s="6" t="s">
        <v>207</v>
      </c>
    </row>
    <row r="192" spans="1:7" ht="84" x14ac:dyDescent="0.2">
      <c r="A192" s="2">
        <v>191</v>
      </c>
      <c r="B192" s="2" t="s">
        <v>382</v>
      </c>
      <c r="C192" s="2" t="s">
        <v>379</v>
      </c>
      <c r="D192" s="2" t="s">
        <v>12</v>
      </c>
      <c r="E192" s="2" t="s">
        <v>385</v>
      </c>
      <c r="F192" s="2" t="s">
        <v>386</v>
      </c>
      <c r="G192" s="3" t="s">
        <v>11</v>
      </c>
    </row>
    <row r="193" spans="1:7" ht="140" x14ac:dyDescent="0.2">
      <c r="A193" s="2">
        <v>192</v>
      </c>
      <c r="B193" s="2" t="s">
        <v>382</v>
      </c>
      <c r="C193" s="2" t="s">
        <v>379</v>
      </c>
      <c r="D193" s="2" t="s">
        <v>28</v>
      </c>
      <c r="E193" s="2" t="s">
        <v>387</v>
      </c>
      <c r="F193" s="2" t="s">
        <v>388</v>
      </c>
      <c r="G193" s="3" t="s">
        <v>11</v>
      </c>
    </row>
    <row r="194" spans="1:7" ht="56" x14ac:dyDescent="0.2">
      <c r="A194" s="2">
        <v>193</v>
      </c>
      <c r="B194" s="2" t="s">
        <v>389</v>
      </c>
      <c r="C194" s="2" t="s">
        <v>379</v>
      </c>
      <c r="D194" s="2"/>
      <c r="E194" s="2"/>
      <c r="F194" s="2" t="s">
        <v>390</v>
      </c>
      <c r="G194" s="3" t="s">
        <v>11</v>
      </c>
    </row>
    <row r="195" spans="1:7" ht="98" x14ac:dyDescent="0.2">
      <c r="A195" s="2">
        <v>194</v>
      </c>
      <c r="B195" s="2" t="s">
        <v>389</v>
      </c>
      <c r="C195" s="2" t="s">
        <v>379</v>
      </c>
      <c r="D195" s="2" t="s">
        <v>28</v>
      </c>
      <c r="E195" s="2" t="s">
        <v>391</v>
      </c>
      <c r="F195" s="2" t="s">
        <v>392</v>
      </c>
      <c r="G195" s="3" t="s">
        <v>11</v>
      </c>
    </row>
    <row r="196" spans="1:7" ht="112" x14ac:dyDescent="0.2">
      <c r="A196" s="2">
        <v>195</v>
      </c>
      <c r="B196" s="2" t="s">
        <v>389</v>
      </c>
      <c r="C196" s="2" t="s">
        <v>379</v>
      </c>
      <c r="D196" s="2" t="s">
        <v>12</v>
      </c>
      <c r="E196" s="2"/>
      <c r="F196" s="2" t="s">
        <v>393</v>
      </c>
      <c r="G196" s="3" t="s">
        <v>11</v>
      </c>
    </row>
    <row r="197" spans="1:7" ht="112" x14ac:dyDescent="0.2">
      <c r="A197" s="2">
        <v>196</v>
      </c>
      <c r="B197" s="2" t="s">
        <v>394</v>
      </c>
      <c r="C197" s="2" t="s">
        <v>379</v>
      </c>
      <c r="D197" s="2" t="s">
        <v>17</v>
      </c>
      <c r="E197" s="2" t="s">
        <v>395</v>
      </c>
      <c r="F197" s="2" t="s">
        <v>266</v>
      </c>
      <c r="G197" s="5" t="s">
        <v>140</v>
      </c>
    </row>
    <row r="198" spans="1:7" ht="42" x14ac:dyDescent="0.2">
      <c r="A198" s="2">
        <v>197</v>
      </c>
      <c r="B198" s="2" t="s">
        <v>394</v>
      </c>
      <c r="C198" s="2" t="s">
        <v>379</v>
      </c>
      <c r="D198" s="2" t="s">
        <v>12</v>
      </c>
      <c r="E198" s="2" t="s">
        <v>396</v>
      </c>
      <c r="F198" s="2" t="s">
        <v>253</v>
      </c>
      <c r="G198" s="4" t="s">
        <v>31</v>
      </c>
    </row>
    <row r="199" spans="1:7" ht="42" x14ac:dyDescent="0.2">
      <c r="A199" s="2">
        <v>198</v>
      </c>
      <c r="B199" s="2" t="s">
        <v>394</v>
      </c>
      <c r="C199" s="2" t="s">
        <v>379</v>
      </c>
      <c r="D199" s="2" t="s">
        <v>12</v>
      </c>
      <c r="E199" s="2" t="s">
        <v>397</v>
      </c>
      <c r="F199" s="2" t="s">
        <v>253</v>
      </c>
      <c r="G199" s="4" t="s">
        <v>31</v>
      </c>
    </row>
    <row r="200" spans="1:7" ht="56" x14ac:dyDescent="0.2">
      <c r="A200" s="2">
        <v>199</v>
      </c>
      <c r="B200" s="2" t="s">
        <v>394</v>
      </c>
      <c r="C200" s="2" t="s">
        <v>379</v>
      </c>
      <c r="D200" s="2" t="s">
        <v>12</v>
      </c>
      <c r="E200" s="2" t="s">
        <v>398</v>
      </c>
      <c r="F200" s="2" t="s">
        <v>399</v>
      </c>
      <c r="G200" s="3" t="s">
        <v>11</v>
      </c>
    </row>
    <row r="201" spans="1:7" ht="42" x14ac:dyDescent="0.2">
      <c r="A201" s="2">
        <v>200</v>
      </c>
      <c r="B201" s="2" t="s">
        <v>394</v>
      </c>
      <c r="C201" s="2" t="s">
        <v>379</v>
      </c>
      <c r="D201" s="2" t="s">
        <v>12</v>
      </c>
      <c r="E201" s="2" t="s">
        <v>400</v>
      </c>
      <c r="F201" s="2" t="s">
        <v>401</v>
      </c>
      <c r="G201" s="3" t="s">
        <v>11</v>
      </c>
    </row>
    <row r="202" spans="1:7" ht="42" x14ac:dyDescent="0.2">
      <c r="A202" s="2">
        <v>201</v>
      </c>
      <c r="B202" s="2" t="s">
        <v>394</v>
      </c>
      <c r="C202" s="2" t="s">
        <v>379</v>
      </c>
      <c r="D202" s="2" t="s">
        <v>12</v>
      </c>
      <c r="E202" s="2" t="s">
        <v>402</v>
      </c>
      <c r="F202" s="2" t="s">
        <v>266</v>
      </c>
      <c r="G202" s="5" t="s">
        <v>140</v>
      </c>
    </row>
    <row r="203" spans="1:7" ht="42" x14ac:dyDescent="0.2">
      <c r="A203" s="2">
        <v>202</v>
      </c>
      <c r="B203" s="2" t="s">
        <v>394</v>
      </c>
      <c r="C203" s="2" t="s">
        <v>379</v>
      </c>
      <c r="D203" s="2" t="s">
        <v>12</v>
      </c>
      <c r="E203" s="2" t="s">
        <v>403</v>
      </c>
      <c r="F203" s="2" t="s">
        <v>404</v>
      </c>
      <c r="G203" s="4" t="s">
        <v>31</v>
      </c>
    </row>
    <row r="204" spans="1:7" ht="140" x14ac:dyDescent="0.2">
      <c r="A204" s="2">
        <v>203</v>
      </c>
      <c r="B204" s="2" t="s">
        <v>394</v>
      </c>
      <c r="C204" s="2" t="s">
        <v>379</v>
      </c>
      <c r="D204" s="2" t="s">
        <v>28</v>
      </c>
      <c r="E204" s="2" t="s">
        <v>405</v>
      </c>
      <c r="F204" s="2" t="s">
        <v>406</v>
      </c>
      <c r="G204" s="3" t="s">
        <v>11</v>
      </c>
    </row>
    <row r="205" spans="1:7" ht="112" x14ac:dyDescent="0.2">
      <c r="A205" s="2">
        <v>204</v>
      </c>
      <c r="B205" s="2" t="s">
        <v>407</v>
      </c>
      <c r="C205" s="2" t="s">
        <v>379</v>
      </c>
      <c r="D205" s="2" t="s">
        <v>28</v>
      </c>
      <c r="E205" s="2" t="s">
        <v>408</v>
      </c>
      <c r="F205" s="2" t="s">
        <v>409</v>
      </c>
      <c r="G205" s="3" t="s">
        <v>11</v>
      </c>
    </row>
    <row r="206" spans="1:7" ht="112" x14ac:dyDescent="0.2">
      <c r="A206" s="2">
        <v>205</v>
      </c>
      <c r="B206" s="2" t="s">
        <v>407</v>
      </c>
      <c r="C206" s="2" t="s">
        <v>379</v>
      </c>
      <c r="D206" s="2" t="s">
        <v>28</v>
      </c>
      <c r="E206" s="2" t="s">
        <v>410</v>
      </c>
      <c r="F206" s="2" t="s">
        <v>411</v>
      </c>
      <c r="G206" s="3" t="s">
        <v>11</v>
      </c>
    </row>
    <row r="207" spans="1:7" ht="42" x14ac:dyDescent="0.2">
      <c r="A207" s="2">
        <v>206</v>
      </c>
      <c r="B207" s="2" t="s">
        <v>412</v>
      </c>
      <c r="C207" s="2" t="s">
        <v>379</v>
      </c>
      <c r="D207" s="2" t="s">
        <v>12</v>
      </c>
      <c r="E207" s="2" t="s">
        <v>413</v>
      </c>
      <c r="F207" s="2" t="s">
        <v>404</v>
      </c>
      <c r="G207" s="4" t="s">
        <v>31</v>
      </c>
    </row>
    <row r="208" spans="1:7" ht="28" x14ac:dyDescent="0.2">
      <c r="A208" s="2">
        <v>207</v>
      </c>
      <c r="B208" s="2" t="s">
        <v>412</v>
      </c>
      <c r="C208" s="2" t="s">
        <v>379</v>
      </c>
      <c r="D208" s="2" t="s">
        <v>12</v>
      </c>
      <c r="E208" s="2" t="s">
        <v>414</v>
      </c>
      <c r="F208" s="2" t="s">
        <v>415</v>
      </c>
      <c r="G208" s="4" t="s">
        <v>31</v>
      </c>
    </row>
    <row r="209" spans="1:7" ht="42" x14ac:dyDescent="0.2">
      <c r="A209" s="2">
        <v>208</v>
      </c>
      <c r="B209" s="2" t="s">
        <v>416</v>
      </c>
      <c r="C209" s="2" t="s">
        <v>379</v>
      </c>
      <c r="D209" s="2" t="s">
        <v>12</v>
      </c>
      <c r="E209" s="2" t="s">
        <v>417</v>
      </c>
      <c r="F209" s="2" t="s">
        <v>266</v>
      </c>
      <c r="G209" s="5" t="s">
        <v>140</v>
      </c>
    </row>
    <row r="210" spans="1:7" ht="42" x14ac:dyDescent="0.2">
      <c r="A210" s="2">
        <v>209</v>
      </c>
      <c r="B210" s="2" t="s">
        <v>416</v>
      </c>
      <c r="C210" s="2" t="s">
        <v>379</v>
      </c>
      <c r="D210" s="2" t="s">
        <v>12</v>
      </c>
      <c r="E210" s="2" t="s">
        <v>418</v>
      </c>
      <c r="F210" s="2" t="s">
        <v>266</v>
      </c>
      <c r="G210" s="5" t="s">
        <v>140</v>
      </c>
    </row>
    <row r="211" spans="1:7" ht="42" x14ac:dyDescent="0.2">
      <c r="A211" s="2">
        <v>210</v>
      </c>
      <c r="B211" s="2" t="s">
        <v>416</v>
      </c>
      <c r="C211" s="2" t="s">
        <v>379</v>
      </c>
      <c r="D211" s="2" t="s">
        <v>12</v>
      </c>
      <c r="E211" s="2" t="s">
        <v>419</v>
      </c>
      <c r="F211" s="2" t="s">
        <v>420</v>
      </c>
      <c r="G211" s="5" t="s">
        <v>140</v>
      </c>
    </row>
    <row r="212" spans="1:7" ht="42" x14ac:dyDescent="0.2">
      <c r="A212" s="2">
        <v>211</v>
      </c>
      <c r="B212" s="2" t="s">
        <v>421</v>
      </c>
      <c r="C212" s="2" t="s">
        <v>379</v>
      </c>
      <c r="D212" s="2" t="s">
        <v>12</v>
      </c>
      <c r="E212" s="2" t="s">
        <v>422</v>
      </c>
      <c r="F212" s="2" t="s">
        <v>423</v>
      </c>
      <c r="G212" s="3" t="s">
        <v>11</v>
      </c>
    </row>
    <row r="213" spans="1:7" ht="56" x14ac:dyDescent="0.2">
      <c r="A213" s="2">
        <v>212</v>
      </c>
      <c r="B213" s="2" t="s">
        <v>421</v>
      </c>
      <c r="C213" s="2" t="s">
        <v>379</v>
      </c>
      <c r="D213" s="2" t="s">
        <v>12</v>
      </c>
      <c r="E213" s="2" t="s">
        <v>424</v>
      </c>
      <c r="F213" s="2" t="s">
        <v>425</v>
      </c>
      <c r="G213" s="3" t="s">
        <v>11</v>
      </c>
    </row>
    <row r="214" spans="1:7" ht="98" x14ac:dyDescent="0.2">
      <c r="A214" s="2">
        <v>213</v>
      </c>
      <c r="B214" s="2" t="s">
        <v>426</v>
      </c>
      <c r="C214" s="2" t="s">
        <v>379</v>
      </c>
      <c r="D214" s="2"/>
      <c r="E214" s="2"/>
      <c r="F214" s="2" t="s">
        <v>427</v>
      </c>
      <c r="G214" s="3" t="s">
        <v>11</v>
      </c>
    </row>
    <row r="215" spans="1:7" ht="98" x14ac:dyDescent="0.2">
      <c r="A215" s="2">
        <v>214</v>
      </c>
      <c r="B215" s="2" t="s">
        <v>426</v>
      </c>
      <c r="C215" s="2" t="s">
        <v>379</v>
      </c>
      <c r="D215" s="2" t="s">
        <v>28</v>
      </c>
      <c r="E215" s="2" t="s">
        <v>428</v>
      </c>
      <c r="F215" s="2" t="s">
        <v>429</v>
      </c>
      <c r="G215" s="6" t="s">
        <v>207</v>
      </c>
    </row>
    <row r="216" spans="1:7" ht="112" x14ac:dyDescent="0.2">
      <c r="A216" s="2">
        <v>215</v>
      </c>
      <c r="B216" s="2" t="s">
        <v>426</v>
      </c>
      <c r="C216" s="2" t="s">
        <v>379</v>
      </c>
      <c r="D216" s="2" t="s">
        <v>28</v>
      </c>
      <c r="E216" s="2" t="s">
        <v>430</v>
      </c>
      <c r="F216" s="2" t="s">
        <v>431</v>
      </c>
      <c r="G216" s="3" t="s">
        <v>11</v>
      </c>
    </row>
    <row r="217" spans="1:7" ht="98" x14ac:dyDescent="0.2">
      <c r="A217" s="2">
        <v>216</v>
      </c>
      <c r="B217" s="2" t="s">
        <v>426</v>
      </c>
      <c r="C217" s="2" t="s">
        <v>379</v>
      </c>
      <c r="D217" s="2"/>
      <c r="E217" s="2"/>
      <c r="F217" s="2" t="s">
        <v>432</v>
      </c>
      <c r="G217" s="3" t="s">
        <v>11</v>
      </c>
    </row>
    <row r="218" spans="1:7" ht="70" x14ac:dyDescent="0.2">
      <c r="A218" s="2">
        <v>217</v>
      </c>
      <c r="B218" s="2" t="s">
        <v>433</v>
      </c>
      <c r="C218" s="2" t="s">
        <v>434</v>
      </c>
      <c r="D218" s="2" t="s">
        <v>12</v>
      </c>
      <c r="E218" s="2" t="s">
        <v>435</v>
      </c>
      <c r="F218" s="2" t="s">
        <v>266</v>
      </c>
      <c r="G218" s="5" t="s">
        <v>140</v>
      </c>
    </row>
    <row r="219" spans="1:7" ht="280" x14ac:dyDescent="0.2">
      <c r="A219" s="2">
        <v>218</v>
      </c>
      <c r="B219" s="2" t="s">
        <v>433</v>
      </c>
      <c r="C219" s="2" t="s">
        <v>434</v>
      </c>
      <c r="D219" s="2" t="s">
        <v>12</v>
      </c>
      <c r="E219" s="2" t="s">
        <v>436</v>
      </c>
      <c r="F219" s="2" t="s">
        <v>437</v>
      </c>
      <c r="G219" s="3" t="s">
        <v>11</v>
      </c>
    </row>
    <row r="220" spans="1:7" ht="42" x14ac:dyDescent="0.2">
      <c r="A220" s="2">
        <v>219</v>
      </c>
      <c r="B220" s="2" t="s">
        <v>438</v>
      </c>
      <c r="C220" s="2" t="s">
        <v>434</v>
      </c>
      <c r="D220" s="2" t="s">
        <v>12</v>
      </c>
      <c r="E220" s="2" t="s">
        <v>439</v>
      </c>
      <c r="F220" s="2" t="s">
        <v>266</v>
      </c>
      <c r="G220" s="5" t="s">
        <v>140</v>
      </c>
    </row>
    <row r="221" spans="1:7" ht="42" x14ac:dyDescent="0.2">
      <c r="A221" s="2">
        <v>220</v>
      </c>
      <c r="B221" s="2" t="s">
        <v>440</v>
      </c>
      <c r="C221" s="2" t="s">
        <v>441</v>
      </c>
      <c r="D221" s="2" t="s">
        <v>12</v>
      </c>
      <c r="E221" s="2" t="s">
        <v>442</v>
      </c>
      <c r="F221" s="2" t="s">
        <v>266</v>
      </c>
      <c r="G221" s="5" t="s">
        <v>140</v>
      </c>
    </row>
    <row r="222" spans="1:7" x14ac:dyDescent="0.2">
      <c r="A222" s="2">
        <v>221</v>
      </c>
      <c r="B222" s="2" t="s">
        <v>443</v>
      </c>
      <c r="C222" s="2" t="s">
        <v>444</v>
      </c>
      <c r="D222" s="2"/>
      <c r="E222" s="2"/>
      <c r="F222" s="2" t="s">
        <v>445</v>
      </c>
      <c r="G222" s="3" t="s">
        <v>11</v>
      </c>
    </row>
    <row r="223" spans="1:7" x14ac:dyDescent="0.2">
      <c r="A223" s="2">
        <v>222</v>
      </c>
      <c r="B223" s="2" t="s">
        <v>443</v>
      </c>
      <c r="C223" s="2" t="s">
        <v>444</v>
      </c>
      <c r="D223" s="2"/>
      <c r="E223" s="2"/>
      <c r="F223" s="2" t="s">
        <v>445</v>
      </c>
      <c r="G223" s="3" t="s">
        <v>11</v>
      </c>
    </row>
    <row r="224" spans="1:7" ht="140" x14ac:dyDescent="0.2">
      <c r="A224" s="2">
        <v>223</v>
      </c>
      <c r="B224" s="2" t="s">
        <v>446</v>
      </c>
      <c r="C224" s="2" t="s">
        <v>447</v>
      </c>
      <c r="D224" s="2" t="s">
        <v>28</v>
      </c>
      <c r="E224" s="2" t="s">
        <v>448</v>
      </c>
      <c r="F224" s="2" t="s">
        <v>449</v>
      </c>
      <c r="G224" s="3" t="s">
        <v>11</v>
      </c>
    </row>
    <row r="225" spans="1:7" ht="126" x14ac:dyDescent="0.2">
      <c r="A225" s="2">
        <v>224</v>
      </c>
      <c r="B225" s="2" t="s">
        <v>450</v>
      </c>
      <c r="C225" s="2" t="s">
        <v>33</v>
      </c>
      <c r="D225" s="2" t="s">
        <v>28</v>
      </c>
      <c r="E225" s="2" t="s">
        <v>451</v>
      </c>
      <c r="F225" s="2" t="s">
        <v>452</v>
      </c>
      <c r="G225" s="3" t="s">
        <v>11</v>
      </c>
    </row>
    <row r="226" spans="1:7" ht="70" x14ac:dyDescent="0.2">
      <c r="A226" s="2">
        <v>225</v>
      </c>
      <c r="B226" s="2" t="s">
        <v>450</v>
      </c>
      <c r="C226" s="2" t="s">
        <v>69</v>
      </c>
      <c r="D226" s="2" t="s">
        <v>28</v>
      </c>
      <c r="E226" s="2" t="s">
        <v>92</v>
      </c>
      <c r="F226" s="2" t="s">
        <v>93</v>
      </c>
      <c r="G226" s="4" t="s">
        <v>31</v>
      </c>
    </row>
    <row r="227" spans="1:7" ht="112" x14ac:dyDescent="0.2">
      <c r="A227" s="2">
        <v>226</v>
      </c>
      <c r="B227" s="2" t="s">
        <v>450</v>
      </c>
      <c r="C227" s="2" t="s">
        <v>151</v>
      </c>
      <c r="D227" s="2" t="s">
        <v>28</v>
      </c>
      <c r="E227" s="2" t="s">
        <v>453</v>
      </c>
      <c r="F227" s="2" t="s">
        <v>454</v>
      </c>
      <c r="G227" s="3" t="s">
        <v>11</v>
      </c>
    </row>
    <row r="228" spans="1:7" ht="266" x14ac:dyDescent="0.2">
      <c r="A228" s="2">
        <v>227</v>
      </c>
      <c r="B228" s="2" t="s">
        <v>455</v>
      </c>
      <c r="C228" s="2" t="s">
        <v>110</v>
      </c>
      <c r="D228" s="2" t="s">
        <v>17</v>
      </c>
      <c r="E228" s="2" t="s">
        <v>456</v>
      </c>
      <c r="F228" s="2" t="s">
        <v>457</v>
      </c>
      <c r="G228" s="3" t="s">
        <v>11</v>
      </c>
    </row>
    <row r="229" spans="1:7" ht="28" x14ac:dyDescent="0.2">
      <c r="A229" s="2">
        <v>228</v>
      </c>
      <c r="B229" s="2" t="s">
        <v>458</v>
      </c>
      <c r="C229" s="2" t="s">
        <v>141</v>
      </c>
      <c r="D229" s="2" t="s">
        <v>17</v>
      </c>
      <c r="E229" s="2" t="s">
        <v>459</v>
      </c>
      <c r="F229" s="2" t="s">
        <v>114</v>
      </c>
      <c r="G229" s="3" t="s">
        <v>11</v>
      </c>
    </row>
    <row r="230" spans="1:7" ht="70" x14ac:dyDescent="0.2">
      <c r="A230" s="2">
        <v>229</v>
      </c>
      <c r="B230" s="2" t="s">
        <v>458</v>
      </c>
      <c r="C230" s="2" t="s">
        <v>141</v>
      </c>
      <c r="D230" s="2" t="s">
        <v>17</v>
      </c>
      <c r="E230" s="2" t="s">
        <v>460</v>
      </c>
      <c r="F230" s="2" t="s">
        <v>461</v>
      </c>
      <c r="G230" s="3" t="s">
        <v>11</v>
      </c>
    </row>
    <row r="231" spans="1:7" ht="210" x14ac:dyDescent="0.2">
      <c r="A231" s="2">
        <v>230</v>
      </c>
      <c r="B231" s="2" t="s">
        <v>462</v>
      </c>
      <c r="C231" s="2" t="s">
        <v>157</v>
      </c>
      <c r="D231" s="2" t="s">
        <v>17</v>
      </c>
      <c r="E231" s="2" t="s">
        <v>463</v>
      </c>
      <c r="F231" s="2" t="s">
        <v>266</v>
      </c>
      <c r="G231" s="5" t="s">
        <v>140</v>
      </c>
    </row>
    <row r="232" spans="1:7" ht="70" x14ac:dyDescent="0.2">
      <c r="A232" s="2">
        <v>231</v>
      </c>
      <c r="B232" s="2" t="s">
        <v>464</v>
      </c>
      <c r="C232" s="2" t="s">
        <v>69</v>
      </c>
      <c r="D232" s="2" t="s">
        <v>28</v>
      </c>
      <c r="E232" s="2" t="s">
        <v>100</v>
      </c>
      <c r="F232" s="2" t="s">
        <v>465</v>
      </c>
      <c r="G232" s="3" t="s">
        <v>11</v>
      </c>
    </row>
    <row r="233" spans="1:7" ht="182" x14ac:dyDescent="0.2">
      <c r="A233" s="2">
        <v>232</v>
      </c>
      <c r="B233" s="2" t="s">
        <v>466</v>
      </c>
      <c r="C233" s="2" t="s">
        <v>203</v>
      </c>
      <c r="D233" s="2"/>
      <c r="E233" s="2"/>
      <c r="F233" s="2" t="s">
        <v>467</v>
      </c>
      <c r="G233" s="3" t="s">
        <v>11</v>
      </c>
    </row>
    <row r="234" spans="1:7" ht="126" x14ac:dyDescent="0.2">
      <c r="A234" s="2">
        <v>233</v>
      </c>
      <c r="B234" s="2" t="s">
        <v>468</v>
      </c>
      <c r="C234" s="2" t="s">
        <v>469</v>
      </c>
      <c r="D234" s="2" t="s">
        <v>28</v>
      </c>
      <c r="E234" s="2" t="s">
        <v>470</v>
      </c>
      <c r="F234" s="2" t="s">
        <v>471</v>
      </c>
      <c r="G234" s="5" t="s">
        <v>140</v>
      </c>
    </row>
    <row r="235" spans="1:7" ht="42" x14ac:dyDescent="0.2">
      <c r="A235" s="2">
        <v>234</v>
      </c>
      <c r="B235" s="2" t="s">
        <v>468</v>
      </c>
      <c r="C235" s="2" t="s">
        <v>469</v>
      </c>
      <c r="D235" s="2"/>
      <c r="E235" s="2"/>
      <c r="F235" s="2" t="s">
        <v>472</v>
      </c>
      <c r="G235" s="3" t="s">
        <v>11</v>
      </c>
    </row>
    <row r="236" spans="1:7" ht="112" x14ac:dyDescent="0.2">
      <c r="A236" s="2">
        <v>235</v>
      </c>
      <c r="B236" s="2" t="s">
        <v>473</v>
      </c>
      <c r="C236" s="2" t="s">
        <v>469</v>
      </c>
      <c r="D236" s="2" t="s">
        <v>28</v>
      </c>
      <c r="E236" s="2" t="s">
        <v>474</v>
      </c>
      <c r="F236" s="2" t="s">
        <v>475</v>
      </c>
      <c r="G236" s="3" t="s">
        <v>11</v>
      </c>
    </row>
    <row r="237" spans="1:7" ht="112" x14ac:dyDescent="0.2">
      <c r="A237" s="2">
        <v>236</v>
      </c>
      <c r="B237" s="2" t="s">
        <v>476</v>
      </c>
      <c r="C237" s="2" t="s">
        <v>469</v>
      </c>
      <c r="D237" s="2" t="s">
        <v>28</v>
      </c>
      <c r="E237" s="2" t="s">
        <v>477</v>
      </c>
      <c r="F237" s="2" t="s">
        <v>478</v>
      </c>
      <c r="G237" s="3" t="s">
        <v>11</v>
      </c>
    </row>
    <row r="238" spans="1:7" ht="98" x14ac:dyDescent="0.2">
      <c r="A238" s="2">
        <v>237</v>
      </c>
      <c r="B238" s="2" t="s">
        <v>479</v>
      </c>
      <c r="C238" s="2" t="s">
        <v>469</v>
      </c>
      <c r="D238" s="2" t="s">
        <v>28</v>
      </c>
      <c r="E238" s="2" t="s">
        <v>480</v>
      </c>
      <c r="F238" s="2" t="s">
        <v>401</v>
      </c>
      <c r="G238" s="3" t="s">
        <v>11</v>
      </c>
    </row>
    <row r="239" spans="1:7" ht="98" x14ac:dyDescent="0.2">
      <c r="A239" s="2">
        <v>238</v>
      </c>
      <c r="B239" s="2" t="s">
        <v>479</v>
      </c>
      <c r="C239" s="2" t="s">
        <v>469</v>
      </c>
      <c r="D239" s="2" t="s">
        <v>28</v>
      </c>
      <c r="E239" s="2" t="s">
        <v>481</v>
      </c>
      <c r="F239" s="2" t="s">
        <v>166</v>
      </c>
      <c r="G239" s="4" t="s">
        <v>31</v>
      </c>
    </row>
    <row r="240" spans="1:7" ht="98" x14ac:dyDescent="0.2">
      <c r="A240" s="2">
        <v>239</v>
      </c>
      <c r="B240" s="2" t="s">
        <v>482</v>
      </c>
      <c r="C240" s="2" t="s">
        <v>483</v>
      </c>
      <c r="D240" s="2" t="s">
        <v>28</v>
      </c>
      <c r="E240" s="2" t="s">
        <v>484</v>
      </c>
      <c r="F240" s="2" t="s">
        <v>485</v>
      </c>
      <c r="G240" s="6" t="s">
        <v>207</v>
      </c>
    </row>
    <row r="241" spans="1:7" ht="126" x14ac:dyDescent="0.2">
      <c r="A241" s="2">
        <v>240</v>
      </c>
      <c r="B241" s="2" t="s">
        <v>482</v>
      </c>
      <c r="C241" s="2" t="s">
        <v>483</v>
      </c>
      <c r="D241" s="2" t="s">
        <v>28</v>
      </c>
      <c r="E241" s="2" t="s">
        <v>486</v>
      </c>
      <c r="F241" s="2" t="s">
        <v>487</v>
      </c>
      <c r="G241" s="6" t="s">
        <v>207</v>
      </c>
    </row>
    <row r="242" spans="1:7" ht="409.6" x14ac:dyDescent="0.2">
      <c r="A242" s="2">
        <v>241</v>
      </c>
      <c r="B242" s="2" t="s">
        <v>482</v>
      </c>
      <c r="C242" s="2" t="s">
        <v>483</v>
      </c>
      <c r="D242" s="2"/>
      <c r="E242" s="2"/>
      <c r="F242" s="2" t="s">
        <v>488</v>
      </c>
      <c r="G242" s="3" t="s">
        <v>11</v>
      </c>
    </row>
    <row r="243" spans="1:7" ht="56" x14ac:dyDescent="0.2">
      <c r="A243" s="2">
        <v>242</v>
      </c>
      <c r="B243" s="2"/>
      <c r="C243" s="2" t="s">
        <v>489</v>
      </c>
      <c r="D243" s="2" t="s">
        <v>76</v>
      </c>
      <c r="E243" s="2" t="s">
        <v>490</v>
      </c>
      <c r="F243" s="2" t="s">
        <v>266</v>
      </c>
      <c r="G243" s="5" t="s">
        <v>140</v>
      </c>
    </row>
  </sheetData>
  <autoFilter ref="A1:G243"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5"/>
  <sheetViews>
    <sheetView zoomScale="173" zoomScaleNormal="100" workbookViewId="0">
      <pane ySplit="1" topLeftCell="A2" activePane="bottomLeft" state="frozen"/>
      <selection pane="bottomLeft" activeCell="B6" sqref="B6"/>
    </sheetView>
  </sheetViews>
  <sheetFormatPr baseColWidth="10" defaultColWidth="8.6640625" defaultRowHeight="15" x14ac:dyDescent="0.2"/>
  <cols>
    <col min="1" max="1" width="42" customWidth="1"/>
    <col min="2" max="6" width="16" customWidth="1"/>
  </cols>
  <sheetData>
    <row r="1" spans="1:6" ht="30" x14ac:dyDescent="0.2">
      <c r="A1" s="1" t="s">
        <v>2</v>
      </c>
      <c r="B1" s="1" t="s">
        <v>491</v>
      </c>
      <c r="C1" s="1" t="s">
        <v>492</v>
      </c>
      <c r="D1" s="1" t="s">
        <v>493</v>
      </c>
      <c r="E1" s="1" t="s">
        <v>494</v>
      </c>
      <c r="F1" s="1" t="s">
        <v>207</v>
      </c>
    </row>
    <row r="2" spans="1:6" x14ac:dyDescent="0.2">
      <c r="A2" s="2" t="s">
        <v>8</v>
      </c>
      <c r="B2" s="7">
        <v>2</v>
      </c>
      <c r="C2" s="7">
        <v>2</v>
      </c>
      <c r="D2" s="7">
        <v>0</v>
      </c>
      <c r="E2" s="7">
        <v>0</v>
      </c>
      <c r="F2" s="7">
        <v>0</v>
      </c>
    </row>
    <row r="3" spans="1:6" x14ac:dyDescent="0.2">
      <c r="A3" s="2" t="s">
        <v>16</v>
      </c>
      <c r="B3" s="7">
        <v>1</v>
      </c>
      <c r="C3" s="7">
        <v>1</v>
      </c>
      <c r="D3" s="7">
        <v>0</v>
      </c>
      <c r="E3" s="7">
        <v>0</v>
      </c>
      <c r="F3" s="7">
        <v>0</v>
      </c>
    </row>
    <row r="4" spans="1:6" x14ac:dyDescent="0.2">
      <c r="A4" s="2" t="s">
        <v>20</v>
      </c>
      <c r="B4" s="7">
        <v>3</v>
      </c>
      <c r="C4" s="7">
        <v>3</v>
      </c>
      <c r="D4" s="7">
        <v>0</v>
      </c>
      <c r="E4" s="7">
        <v>0</v>
      </c>
      <c r="F4" s="7">
        <v>0</v>
      </c>
    </row>
    <row r="5" spans="1:6" x14ac:dyDescent="0.2">
      <c r="A5" s="2" t="s">
        <v>27</v>
      </c>
      <c r="B5" s="7">
        <v>1</v>
      </c>
      <c r="C5" s="7">
        <v>0</v>
      </c>
      <c r="D5" s="7">
        <v>1</v>
      </c>
      <c r="E5" s="7">
        <v>0</v>
      </c>
      <c r="F5" s="7">
        <v>0</v>
      </c>
    </row>
    <row r="6" spans="1:6" x14ac:dyDescent="0.2">
      <c r="A6" s="2" t="s">
        <v>33</v>
      </c>
      <c r="B6" s="7">
        <v>20</v>
      </c>
      <c r="C6" s="7">
        <v>16</v>
      </c>
      <c r="D6" s="7">
        <v>4</v>
      </c>
      <c r="E6" s="7">
        <v>0</v>
      </c>
      <c r="F6" s="7">
        <v>0</v>
      </c>
    </row>
    <row r="7" spans="1:6" ht="28" x14ac:dyDescent="0.2">
      <c r="A7" s="2" t="s">
        <v>69</v>
      </c>
      <c r="B7" s="7">
        <v>22</v>
      </c>
      <c r="C7" s="7">
        <v>15</v>
      </c>
      <c r="D7" s="7">
        <v>7</v>
      </c>
      <c r="E7" s="7">
        <v>0</v>
      </c>
      <c r="F7" s="7">
        <v>0</v>
      </c>
    </row>
    <row r="8" spans="1:6" x14ac:dyDescent="0.2">
      <c r="A8" s="2" t="s">
        <v>110</v>
      </c>
      <c r="B8" s="7">
        <v>17</v>
      </c>
      <c r="C8" s="7">
        <v>13</v>
      </c>
      <c r="D8" s="7">
        <v>3</v>
      </c>
      <c r="E8" s="7">
        <v>1</v>
      </c>
      <c r="F8" s="7">
        <v>0</v>
      </c>
    </row>
    <row r="9" spans="1:6" ht="28" x14ac:dyDescent="0.2">
      <c r="A9" s="2" t="s">
        <v>141</v>
      </c>
      <c r="B9" s="7">
        <v>7</v>
      </c>
      <c r="C9" s="7">
        <v>4</v>
      </c>
      <c r="D9" s="7">
        <v>3</v>
      </c>
      <c r="E9" s="7">
        <v>0</v>
      </c>
      <c r="F9" s="7">
        <v>0</v>
      </c>
    </row>
    <row r="10" spans="1:6" x14ac:dyDescent="0.2">
      <c r="A10" s="2" t="s">
        <v>151</v>
      </c>
      <c r="B10" s="7">
        <v>4</v>
      </c>
      <c r="C10" s="7">
        <v>4</v>
      </c>
      <c r="D10" s="7">
        <v>0</v>
      </c>
      <c r="E10" s="7">
        <v>0</v>
      </c>
      <c r="F10" s="7">
        <v>0</v>
      </c>
    </row>
    <row r="11" spans="1:6" x14ac:dyDescent="0.2">
      <c r="A11" s="2" t="s">
        <v>157</v>
      </c>
      <c r="B11" s="7">
        <v>22</v>
      </c>
      <c r="C11" s="7">
        <v>13</v>
      </c>
      <c r="D11" s="7">
        <v>7</v>
      </c>
      <c r="E11" s="7">
        <v>2</v>
      </c>
      <c r="F11" s="7">
        <v>0</v>
      </c>
    </row>
    <row r="12" spans="1:6" x14ac:dyDescent="0.2">
      <c r="A12" s="2" t="s">
        <v>186</v>
      </c>
      <c r="B12" s="7">
        <v>4</v>
      </c>
      <c r="C12" s="7">
        <v>4</v>
      </c>
      <c r="D12" s="7">
        <v>0</v>
      </c>
      <c r="E12" s="7">
        <v>0</v>
      </c>
      <c r="F12" s="7">
        <v>0</v>
      </c>
    </row>
    <row r="13" spans="1:6" x14ac:dyDescent="0.2">
      <c r="A13" s="2" t="s">
        <v>203</v>
      </c>
      <c r="B13" s="7">
        <v>6</v>
      </c>
      <c r="C13" s="7">
        <v>5</v>
      </c>
      <c r="D13" s="7">
        <v>0</v>
      </c>
      <c r="E13" s="7">
        <v>0</v>
      </c>
      <c r="F13" s="7">
        <v>1</v>
      </c>
    </row>
    <row r="14" spans="1:6" x14ac:dyDescent="0.2">
      <c r="A14" s="2" t="s">
        <v>215</v>
      </c>
      <c r="B14" s="7">
        <v>7</v>
      </c>
      <c r="C14" s="7">
        <v>7</v>
      </c>
      <c r="D14" s="7">
        <v>0</v>
      </c>
      <c r="E14" s="7">
        <v>0</v>
      </c>
      <c r="F14" s="7">
        <v>0</v>
      </c>
    </row>
    <row r="15" spans="1:6" x14ac:dyDescent="0.2">
      <c r="A15" s="2" t="s">
        <v>228</v>
      </c>
      <c r="B15" s="7">
        <v>10</v>
      </c>
      <c r="C15" s="7">
        <v>4</v>
      </c>
      <c r="D15" s="7">
        <v>6</v>
      </c>
      <c r="E15" s="7">
        <v>0</v>
      </c>
      <c r="F15" s="7">
        <v>0</v>
      </c>
    </row>
    <row r="16" spans="1:6" x14ac:dyDescent="0.2">
      <c r="A16" s="2" t="s">
        <v>249</v>
      </c>
      <c r="B16" s="7">
        <v>2</v>
      </c>
      <c r="C16" s="7">
        <v>1</v>
      </c>
      <c r="D16" s="7">
        <v>1</v>
      </c>
      <c r="E16" s="7">
        <v>0</v>
      </c>
      <c r="F16" s="7">
        <v>0</v>
      </c>
    </row>
    <row r="17" spans="1:6" x14ac:dyDescent="0.2">
      <c r="A17" s="2" t="s">
        <v>255</v>
      </c>
      <c r="B17" s="7">
        <v>2</v>
      </c>
      <c r="C17" s="7">
        <v>0</v>
      </c>
      <c r="D17" s="7">
        <v>2</v>
      </c>
      <c r="E17" s="7">
        <v>0</v>
      </c>
      <c r="F17" s="7">
        <v>0</v>
      </c>
    </row>
    <row r="18" spans="1:6" x14ac:dyDescent="0.2">
      <c r="A18" s="2" t="s">
        <v>260</v>
      </c>
      <c r="B18" s="7">
        <v>1</v>
      </c>
      <c r="C18" s="7">
        <v>1</v>
      </c>
      <c r="D18" s="7">
        <v>0</v>
      </c>
      <c r="E18" s="7">
        <v>0</v>
      </c>
      <c r="F18" s="7">
        <v>0</v>
      </c>
    </row>
    <row r="19" spans="1:6" x14ac:dyDescent="0.2">
      <c r="A19" s="2" t="s">
        <v>262</v>
      </c>
      <c r="B19" s="7">
        <v>4</v>
      </c>
      <c r="C19" s="7">
        <v>3</v>
      </c>
      <c r="D19" s="7">
        <v>0</v>
      </c>
      <c r="E19" s="7">
        <v>1</v>
      </c>
      <c r="F19" s="7">
        <v>0</v>
      </c>
    </row>
    <row r="20" spans="1:6" x14ac:dyDescent="0.2">
      <c r="A20" s="2" t="s">
        <v>272</v>
      </c>
      <c r="B20" s="7">
        <v>11</v>
      </c>
      <c r="C20" s="7">
        <v>8</v>
      </c>
      <c r="D20" s="7">
        <v>0</v>
      </c>
      <c r="E20" s="7">
        <v>0</v>
      </c>
      <c r="F20" s="7">
        <v>3</v>
      </c>
    </row>
    <row r="21" spans="1:6" x14ac:dyDescent="0.2">
      <c r="A21" s="2" t="s">
        <v>274</v>
      </c>
      <c r="B21" s="7">
        <v>3</v>
      </c>
      <c r="C21" s="7">
        <v>3</v>
      </c>
      <c r="D21" s="7">
        <v>0</v>
      </c>
      <c r="E21" s="7">
        <v>0</v>
      </c>
      <c r="F21" s="7">
        <v>0</v>
      </c>
    </row>
    <row r="22" spans="1:6" x14ac:dyDescent="0.2">
      <c r="A22" s="2" t="s">
        <v>301</v>
      </c>
      <c r="B22" s="7">
        <v>3</v>
      </c>
      <c r="C22" s="7">
        <v>3</v>
      </c>
      <c r="D22" s="7">
        <v>0</v>
      </c>
      <c r="E22" s="7">
        <v>0</v>
      </c>
      <c r="F22" s="7">
        <v>0</v>
      </c>
    </row>
    <row r="23" spans="1:6" x14ac:dyDescent="0.2">
      <c r="A23" s="2" t="s">
        <v>308</v>
      </c>
      <c r="B23" s="7">
        <v>3</v>
      </c>
      <c r="C23" s="7">
        <v>1</v>
      </c>
      <c r="D23" s="7">
        <v>0</v>
      </c>
      <c r="E23" s="7">
        <v>0</v>
      </c>
      <c r="F23" s="7">
        <v>2</v>
      </c>
    </row>
    <row r="24" spans="1:6" x14ac:dyDescent="0.2">
      <c r="A24" s="2" t="s">
        <v>316</v>
      </c>
      <c r="B24" s="7">
        <v>26</v>
      </c>
      <c r="C24" s="7">
        <v>8</v>
      </c>
      <c r="D24" s="7">
        <v>0</v>
      </c>
      <c r="E24" s="7">
        <v>5</v>
      </c>
      <c r="F24" s="7">
        <v>13</v>
      </c>
    </row>
    <row r="25" spans="1:6" x14ac:dyDescent="0.2">
      <c r="A25" s="2" t="s">
        <v>340</v>
      </c>
      <c r="B25" s="7">
        <v>3</v>
      </c>
      <c r="C25" s="7">
        <v>1</v>
      </c>
      <c r="D25" s="7">
        <v>0</v>
      </c>
      <c r="E25" s="7">
        <v>0</v>
      </c>
      <c r="F25" s="7">
        <v>2</v>
      </c>
    </row>
    <row r="26" spans="1:6" x14ac:dyDescent="0.2">
      <c r="A26" s="2" t="s">
        <v>350</v>
      </c>
      <c r="B26" s="7">
        <v>13</v>
      </c>
      <c r="C26" s="7">
        <v>7</v>
      </c>
      <c r="D26" s="7">
        <v>0</v>
      </c>
      <c r="E26" s="7">
        <v>5</v>
      </c>
      <c r="F26" s="7">
        <v>1</v>
      </c>
    </row>
    <row r="27" spans="1:6" ht="28" x14ac:dyDescent="0.2">
      <c r="A27" s="2" t="s">
        <v>379</v>
      </c>
      <c r="B27" s="7">
        <v>28</v>
      </c>
      <c r="C27" s="7">
        <v>16</v>
      </c>
      <c r="D27" s="7">
        <v>5</v>
      </c>
      <c r="E27" s="7">
        <v>5</v>
      </c>
      <c r="F27" s="7">
        <v>2</v>
      </c>
    </row>
    <row r="28" spans="1:6" x14ac:dyDescent="0.2">
      <c r="A28" s="2" t="s">
        <v>434</v>
      </c>
      <c r="B28" s="7">
        <v>3</v>
      </c>
      <c r="C28" s="7">
        <v>1</v>
      </c>
      <c r="D28" s="7">
        <v>0</v>
      </c>
      <c r="E28" s="7">
        <v>2</v>
      </c>
      <c r="F28" s="7">
        <v>0</v>
      </c>
    </row>
    <row r="29" spans="1:6" x14ac:dyDescent="0.2">
      <c r="A29" s="2" t="s">
        <v>441</v>
      </c>
      <c r="B29" s="7">
        <v>1</v>
      </c>
      <c r="C29" s="7">
        <v>0</v>
      </c>
      <c r="D29" s="7">
        <v>0</v>
      </c>
      <c r="E29" s="7">
        <v>1</v>
      </c>
      <c r="F29" s="7">
        <v>0</v>
      </c>
    </row>
    <row r="30" spans="1:6" x14ac:dyDescent="0.2">
      <c r="A30" s="2" t="s">
        <v>444</v>
      </c>
      <c r="B30" s="7">
        <v>2</v>
      </c>
      <c r="C30" s="7">
        <v>2</v>
      </c>
      <c r="D30" s="7">
        <v>0</v>
      </c>
      <c r="E30" s="7">
        <v>0</v>
      </c>
      <c r="F30" s="7">
        <v>0</v>
      </c>
    </row>
    <row r="31" spans="1:6" x14ac:dyDescent="0.2">
      <c r="A31" s="2" t="s">
        <v>447</v>
      </c>
      <c r="B31" s="7">
        <v>1</v>
      </c>
      <c r="C31" s="7">
        <v>1</v>
      </c>
      <c r="D31" s="7">
        <v>0</v>
      </c>
      <c r="E31" s="7">
        <v>0</v>
      </c>
      <c r="F31" s="7">
        <v>0</v>
      </c>
    </row>
    <row r="32" spans="1:6" x14ac:dyDescent="0.2">
      <c r="A32" s="2" t="s">
        <v>469</v>
      </c>
      <c r="B32" s="7">
        <v>6</v>
      </c>
      <c r="C32" s="7">
        <v>4</v>
      </c>
      <c r="D32" s="7">
        <v>1</v>
      </c>
      <c r="E32" s="7">
        <v>1</v>
      </c>
      <c r="F32" s="7">
        <v>0</v>
      </c>
    </row>
    <row r="33" spans="1:6" x14ac:dyDescent="0.2">
      <c r="A33" s="2" t="s">
        <v>483</v>
      </c>
      <c r="B33" s="7">
        <v>3</v>
      </c>
      <c r="C33" s="7">
        <v>1</v>
      </c>
      <c r="D33" s="7">
        <v>0</v>
      </c>
      <c r="E33" s="7">
        <v>0</v>
      </c>
      <c r="F33" s="7">
        <v>2</v>
      </c>
    </row>
    <row r="34" spans="1:6" x14ac:dyDescent="0.2">
      <c r="A34" s="2" t="s">
        <v>489</v>
      </c>
      <c r="B34" s="7">
        <v>1</v>
      </c>
      <c r="C34" s="7">
        <v>0</v>
      </c>
      <c r="D34" s="7">
        <v>0</v>
      </c>
      <c r="E34" s="7">
        <v>1</v>
      </c>
      <c r="F34" s="7">
        <v>0</v>
      </c>
    </row>
    <row r="35" spans="1:6" x14ac:dyDescent="0.2">
      <c r="A35" s="8" t="s">
        <v>495</v>
      </c>
      <c r="B35" s="8">
        <f>SUM(B2:B34)</f>
        <v>242</v>
      </c>
      <c r="C35" s="8">
        <f>SUM(C2:C34)</f>
        <v>152</v>
      </c>
      <c r="D35" s="8">
        <f>SUM(D2:D34)</f>
        <v>40</v>
      </c>
      <c r="E35" s="8">
        <f>SUM(E2:E34)</f>
        <v>24</v>
      </c>
      <c r="F35" s="8">
        <f>SUM(F2:F34)</f>
        <v>26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tabSelected="1" zoomScale="143" zoomScaleNormal="100" workbookViewId="0"/>
  </sheetViews>
  <sheetFormatPr baseColWidth="10" defaultColWidth="8.6640625" defaultRowHeight="15" x14ac:dyDescent="0.2"/>
  <cols>
    <col min="1" max="1" width="40" customWidth="1"/>
    <col min="2" max="2" width="22" customWidth="1"/>
  </cols>
  <sheetData>
    <row r="1" spans="1:2" x14ac:dyDescent="0.2">
      <c r="A1" s="9" t="s">
        <v>496</v>
      </c>
      <c r="B1" s="9" t="s">
        <v>497</v>
      </c>
    </row>
    <row r="2" spans="1:2" x14ac:dyDescent="0.2">
      <c r="A2" s="10" t="s">
        <v>12</v>
      </c>
      <c r="B2" s="7">
        <v>64</v>
      </c>
    </row>
    <row r="3" spans="1:2" x14ac:dyDescent="0.2">
      <c r="A3" s="10" t="s">
        <v>28</v>
      </c>
      <c r="B3" s="7">
        <v>62</v>
      </c>
    </row>
    <row r="4" spans="1:2" x14ac:dyDescent="0.2">
      <c r="A4" s="10" t="s">
        <v>21</v>
      </c>
      <c r="B4" s="7">
        <v>26</v>
      </c>
    </row>
    <row r="5" spans="1:2" x14ac:dyDescent="0.2">
      <c r="A5" s="10" t="s">
        <v>17</v>
      </c>
      <c r="B5" s="7">
        <v>21</v>
      </c>
    </row>
    <row r="6" spans="1:2" x14ac:dyDescent="0.2">
      <c r="A6" s="10" t="s">
        <v>76</v>
      </c>
      <c r="B6" s="7">
        <v>10</v>
      </c>
    </row>
    <row r="7" spans="1:2" x14ac:dyDescent="0.2">
      <c r="A7" s="10" t="s">
        <v>183</v>
      </c>
      <c r="B7" s="7">
        <v>7</v>
      </c>
    </row>
    <row r="8" spans="1:2" x14ac:dyDescent="0.2">
      <c r="A8" s="10" t="s">
        <v>36</v>
      </c>
      <c r="B8" s="7">
        <v>6</v>
      </c>
    </row>
    <row r="9" spans="1:2" x14ac:dyDescent="0.2">
      <c r="A9" s="10" t="s">
        <v>286</v>
      </c>
      <c r="B9" s="7">
        <v>5</v>
      </c>
    </row>
    <row r="10" spans="1:2" x14ac:dyDescent="0.2">
      <c r="A10" s="10" t="s">
        <v>309</v>
      </c>
      <c r="B10" s="7">
        <v>3</v>
      </c>
    </row>
    <row r="11" spans="1:2" x14ac:dyDescent="0.2">
      <c r="A11" s="10" t="s">
        <v>38</v>
      </c>
      <c r="B11" s="7">
        <v>1</v>
      </c>
    </row>
    <row r="12" spans="1:2" x14ac:dyDescent="0.2">
      <c r="A12" s="8" t="s">
        <v>495</v>
      </c>
      <c r="B12" s="8">
        <f>SUM(B2:B11)</f>
        <v>205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Query Tracker</vt:lpstr>
      <vt:lpstr>Summary by Section</vt:lpstr>
      <vt:lpstr>Summary by Bidder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Gopika Rao</cp:lastModifiedBy>
  <cp:revision>0</cp:revision>
  <dcterms:created xsi:type="dcterms:W3CDTF">2026-07-08T07:16:51Z</dcterms:created>
  <dcterms:modified xsi:type="dcterms:W3CDTF">2026-07-08T16:15:58Z</dcterms:modified>
  <dc:language>en-US</dc:language>
</cp:coreProperties>
</file>